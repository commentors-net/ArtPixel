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ebgroup-my.sharepoint.com/personal/adly_bin-abd-rahman_seb_se/Documents/Microsoft Teams Chat Files/"/>
    </mc:Choice>
  </mc:AlternateContent>
  <xr:revisionPtr revIDLastSave="35" documentId="11_D2C1E40BA72EAB8B62CC372635939DECD773E13A" xr6:coauthVersionLast="47" xr6:coauthVersionMax="47" xr10:uidLastSave="{D948D1FC-69E6-4977-BDE8-A43B04BFE9E9}"/>
  <bookViews>
    <workbookView xWindow="-110" yWindow="-110" windowWidth="19420" windowHeight="11500" tabRatio="641" firstSheet="4" activeTab="5" xr2:uid="{00000000-000D-0000-FFFF-FFFF00000000}"/>
  </bookViews>
  <sheets>
    <sheet name="Overview" sheetId="1" r:id="rId1"/>
    <sheet name="1 Guiding Light" sheetId="2" r:id="rId2"/>
    <sheet name="2 Sunset Flight" sheetId="3" r:id="rId3"/>
    <sheet name="3 Reef Party" sheetId="4" r:id="rId4"/>
    <sheet name="4 Debug Mode" sheetId="5" r:id="rId5"/>
    <sheet name="5 Cloud Upload" sheetId="6" r:id="rId6"/>
    <sheet name="6 Internet Day" sheetId="8" r:id="rId7"/>
    <sheet name="Blank grid" sheetId="7" r:id="rId8"/>
  </sheets>
  <definedNames>
    <definedName name="_xlnm.Print_Area" localSheetId="1">'1 Guiding Light'!$A$1:$AA$24</definedName>
    <definedName name="_xlnm.Print_Area" localSheetId="2">'2 Sunset Flight'!$A$1:$AA$24</definedName>
    <definedName name="_xlnm.Print_Area" localSheetId="3">'3 Reef Party'!$A$1:$AA$24</definedName>
    <definedName name="_xlnm.Print_Area" localSheetId="4">'4 Debug Mode'!$A$1:$AA$24</definedName>
    <definedName name="_xlnm.Print_Area" localSheetId="5">'5 Cloud Upload'!$A$1:$AA$24</definedName>
    <definedName name="_xlnm.Print_Area" localSheetId="6">'6 Internet Day'!$A$1:$AA$38</definedName>
    <definedName name="_xlnm.Print_Area" localSheetId="7">'Blank grid'!$A$1:$AA$24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17" i="7" l="1"/>
  <c r="AA15" i="7"/>
  <c r="AA14" i="7"/>
  <c r="AA13" i="7"/>
  <c r="AA12" i="7"/>
  <c r="AA11" i="7"/>
  <c r="AA10" i="7"/>
  <c r="AA9" i="7"/>
  <c r="AA8" i="7"/>
  <c r="AA7" i="7"/>
  <c r="AA6" i="7"/>
  <c r="AA5" i="7"/>
  <c r="AA4" i="7"/>
  <c r="AA16" i="7" s="1"/>
  <c r="AA17" i="6"/>
  <c r="AA15" i="6"/>
  <c r="AA14" i="6"/>
  <c r="AA13" i="6"/>
  <c r="AA12" i="6"/>
  <c r="AA11" i="6"/>
  <c r="AA10" i="6"/>
  <c r="AA9" i="6"/>
  <c r="AA8" i="6"/>
  <c r="AA7" i="6"/>
  <c r="AA6" i="6"/>
  <c r="AA5" i="6"/>
  <c r="AA4" i="6"/>
  <c r="AA17" i="5"/>
  <c r="AA15" i="5"/>
  <c r="AA14" i="5"/>
  <c r="AA13" i="5"/>
  <c r="AA12" i="5"/>
  <c r="AA11" i="5"/>
  <c r="AA10" i="5"/>
  <c r="AA9" i="5"/>
  <c r="AA8" i="5"/>
  <c r="AA7" i="5"/>
  <c r="AA6" i="5"/>
  <c r="AA5" i="5"/>
  <c r="AA4" i="5"/>
  <c r="AA16" i="5" s="1"/>
  <c r="AA20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19" i="4" s="1"/>
  <c r="AA20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19" i="3" s="1"/>
  <c r="AA12" i="2"/>
  <c r="AA10" i="2"/>
  <c r="AA9" i="2"/>
  <c r="AA8" i="2"/>
  <c r="AA7" i="2"/>
  <c r="AA6" i="2"/>
  <c r="AA5" i="2"/>
  <c r="AA11" i="2" s="1"/>
  <c r="AA4" i="2"/>
  <c r="AA16" i="6" l="1"/>
</calcChain>
</file>

<file path=xl/sharedStrings.xml><?xml version="1.0" encoding="utf-8"?>
<sst xmlns="http://schemas.openxmlformats.org/spreadsheetml/2006/main" count="2505" uniqueCount="170">
  <si>
    <t>Pixel Mission: sample images (20 x 20)</t>
  </si>
  <si>
    <t>Each image tab shows the colour code in every cell. Type a code (capital letter) in any grid cell and it recolours automatically.</t>
  </si>
  <si>
    <t>Use the 'Blank grid' tab for a digital team grid with the 12 pencil colours (Images 4-5 palette).</t>
  </si>
  <si>
    <t>#</t>
  </si>
  <si>
    <t>Image</t>
  </si>
  <si>
    <t>Theme</t>
  </si>
  <si>
    <t>Colours</t>
  </si>
  <si>
    <t>Level</t>
  </si>
  <si>
    <t>Tab</t>
  </si>
  <si>
    <t>Guiding Light</t>
  </si>
  <si>
    <t>Lighthouse</t>
  </si>
  <si>
    <t>Intermediate</t>
  </si>
  <si>
    <t>1 Guiding Light</t>
  </si>
  <si>
    <t>Sunset Flight</t>
  </si>
  <si>
    <t>Hot-air balloon</t>
  </si>
  <si>
    <t>Advanced</t>
  </si>
  <si>
    <t>2 Sunset Flight</t>
  </si>
  <si>
    <t>Reef Party</t>
  </si>
  <si>
    <t>Coral reef</t>
  </si>
  <si>
    <t>3 Reef Party</t>
  </si>
  <si>
    <t>Debug Mode</t>
  </si>
  <si>
    <t>Coder's desk (IT)</t>
  </si>
  <si>
    <t>Hard: 70% detail / 30% plain</t>
  </si>
  <si>
    <t>4 Debug Mode</t>
  </si>
  <si>
    <t>Cloud Upload</t>
  </si>
  <si>
    <t>Cloud and server (IT)</t>
  </si>
  <si>
    <t>Intermediate: 40% detail / 60% plain</t>
  </si>
  <si>
    <t>5 Cloud Upload</t>
  </si>
  <si>
    <t>Image 1: Guiding Light</t>
  </si>
  <si>
    <t>Lighthouse  |  7 colours  |  Intermediate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</si>
  <si>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</si>
  <si>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</si>
  <si>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</si>
  <si>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</si>
  <si>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</si>
  <si>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</si>
  <si>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</si>
  <si>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</si>
  <si>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</si>
  <si>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</si>
  <si>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</si>
  <si>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</si>
  <si>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</si>
  <si>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</si>
  <si>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</si>
  <si>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</si>
  <si>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</si>
  <si>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</si>
  <si>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</si>
  <si>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</si>
  <si>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Code</t>
  </si>
  <si>
    <t>Colour</t>
  </si>
  <si>
    <t>Swatch</t>
  </si>
  <si>
    <t>Hex</t>
  </si>
  <si>
    <t>Cells</t>
  </si>
  <si>
    <t>W</t>
  </si>
  <si>
    <t>Sky blue</t>
  </si>
  <si>
    <t>#8EC9F0</t>
  </si>
  <si>
    <t>White</t>
  </si>
  <si>
    <t>#FFFFFF</t>
  </si>
  <si>
    <t>Y</t>
  </si>
  <si>
    <t>Red</t>
  </si>
  <si>
    <t>#D9443A</t>
  </si>
  <si>
    <t>Yellow</t>
  </si>
  <si>
    <t>#F7D046</t>
  </si>
  <si>
    <t>Charcoal</t>
  </si>
  <si>
    <t>#3A3A40</t>
  </si>
  <si>
    <t>Sea blue</t>
  </si>
  <si>
    <t>#1F5F9E</t>
  </si>
  <si>
    <t>Sand</t>
  </si>
  <si>
    <t>#C9A66B</t>
  </si>
  <si>
    <t>Total filled</t>
  </si>
  <si>
    <t>Empty cells</t>
  </si>
  <si>
    <t>Answer key: codes match the palette table. Counts update if you edit the grid.</t>
  </si>
  <si>
    <t>Image 2: Sunset Flight</t>
  </si>
  <si>
    <t>Hot-air balloon  |  15 colours  |  Advanced</t>
  </si>
  <si>
    <t>Night blue</t>
  </si>
  <si>
    <t>#24386E</t>
  </si>
  <si>
    <t>Dusk blue</t>
  </si>
  <si>
    <t>#5677BD</t>
  </si>
  <si>
    <t>Peach glow</t>
  </si>
  <si>
    <t>#F5B48C</t>
  </si>
  <si>
    <t>Pale sun</t>
  </si>
  <si>
    <t>#FFF1A8</t>
  </si>
  <si>
    <t>Cloud white</t>
  </si>
  <si>
    <t>#D7263D</t>
  </si>
  <si>
    <t>Orange</t>
  </si>
  <si>
    <t>#F28C28</t>
  </si>
  <si>
    <t>Golden yellow</t>
  </si>
  <si>
    <t>#F2BE22</t>
  </si>
  <si>
    <t>Teal</t>
  </si>
  <si>
    <t>#1FA6A0</t>
  </si>
  <si>
    <t>Purple</t>
  </si>
  <si>
    <t>#7B4FA0</t>
  </si>
  <si>
    <t>Rope tan</t>
  </si>
  <si>
    <t>#B0814F</t>
  </si>
  <si>
    <t>Basket brown</t>
  </si>
  <si>
    <t>#5A3A22</t>
  </si>
  <si>
    <t>Light green</t>
  </si>
  <si>
    <t>#8CC56A</t>
  </si>
  <si>
    <t>Forest green</t>
  </si>
  <si>
    <t>#2F7D3A</t>
  </si>
  <si>
    <t>Black</t>
  </si>
  <si>
    <t>#1C1C1C</t>
  </si>
  <si>
    <t>Image 3: Reef Party</t>
  </si>
  <si>
    <t>Coral reef  |  15 colours  |  Advanced</t>
  </si>
  <si>
    <t>Shallow aqua</t>
  </si>
  <si>
    <t>#86D6EA</t>
  </si>
  <si>
    <t>Ocean blue</t>
  </si>
  <si>
    <t>#2E9BC9</t>
  </si>
  <si>
    <t>Deep navy</t>
  </si>
  <si>
    <t>#174A78</t>
  </si>
  <si>
    <t>#EBD6A4</t>
  </si>
  <si>
    <t>Fish orange</t>
  </si>
  <si>
    <t>#F37A20</t>
  </si>
  <si>
    <t>Lemon yellow</t>
  </si>
  <si>
    <t>#F9DE2B</t>
  </si>
  <si>
    <t>Shell brown</t>
  </si>
  <si>
    <t>#B08850</t>
  </si>
  <si>
    <t>Coral pink</t>
  </si>
  <si>
    <t>#F48FB1</t>
  </si>
  <si>
    <t>Magenta</t>
  </si>
  <si>
    <t>#C2185B</t>
  </si>
  <si>
    <t>Kelp green</t>
  </si>
  <si>
    <t>#5DBB4F</t>
  </si>
  <si>
    <t>Dark green</t>
  </si>
  <si>
    <t>#1E6B35</t>
  </si>
  <si>
    <t>#8E5BC2</t>
  </si>
  <si>
    <t>Rock gray</t>
  </si>
  <si>
    <t>#8A8D91</t>
  </si>
  <si>
    <t>Image 4: Debug Mode</t>
  </si>
  <si>
    <t>Coder's desk (IT)  |  12 colours  |  Hard: 70% detail / 30% plain</t>
  </si>
  <si>
    <t>V</t>
  </si>
  <si>
    <t>#D62828</t>
  </si>
  <si>
    <t>#F77F00</t>
  </si>
  <si>
    <t>#FCD116</t>
  </si>
  <si>
    <t>#8CC63F</t>
  </si>
  <si>
    <t>#1E7B34</t>
  </si>
  <si>
    <t>Light blue</t>
  </si>
  <si>
    <t>#5BC0EB</t>
  </si>
  <si>
    <t>Dark blue</t>
  </si>
  <si>
    <t>#1D3F8F</t>
  </si>
  <si>
    <t>Violet</t>
  </si>
  <si>
    <t>#7B3FA0</t>
  </si>
  <si>
    <t>Pink</t>
  </si>
  <si>
    <t>#F28DB2</t>
  </si>
  <si>
    <t>Brown</t>
  </si>
  <si>
    <t>#7A4A26</t>
  </si>
  <si>
    <t>Image 5: Cloud Upload</t>
  </si>
  <si>
    <t>Cloud and server (IT)  |  12 colours  |  Intermediate: 40% detail / 60% plain</t>
  </si>
  <si>
    <t>Blank team grid</t>
  </si>
  <si>
    <t>12 pencil colours  |  type a code in a cell to colour it</t>
  </si>
  <si>
    <t>Example: type B in cell C5 and it turns dark blue. Delete to clear.</t>
  </si>
  <si>
    <t>International Internet Day: Connected World</t>
  </si>
  <si>
    <t>Reference room poster  |  25 x 25 grid  |  12 colours  |  60% detail / 40% plain  |  Look, memorise, report back</t>
  </si>
  <si>
    <t>U</t>
  </si>
  <si>
    <t>X</t>
  </si>
  <si>
    <t>Colour palette (Excel colour picker: Std = Standard Colors, Theme = Theme Colors)</t>
  </si>
  <si>
    <t>Dark Blue (Std)</t>
  </si>
  <si>
    <t>Orange (Std)</t>
  </si>
  <si>
    <t>Blue (Std)</t>
  </si>
  <si>
    <t>Red (Std)</t>
  </si>
  <si>
    <t>Light Blue (Std)</t>
  </si>
  <si>
    <t>White (Theme)</t>
  </si>
  <si>
    <t>Green (Std)</t>
  </si>
  <si>
    <t>Black (Theme)</t>
  </si>
  <si>
    <t>Light Green (Std)</t>
  </si>
  <si>
    <t>Tan (Theme)</t>
  </si>
  <si>
    <t>Yellow (Std)</t>
  </si>
  <si>
    <t>Orange (Theme)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</si>
</sst>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color rgb="FF6B708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rgb="FF1F5F9E"/>
      <name val="Arial"/>
      <charset val="1"/>
    </font>
    <font>
      <b/>
      <sz val="9"/>
      <name val="Arial"/>
      <charset val="1"/>
    </font>
    <font>
      <b/>
      <sz val="8"/>
      <color rgb="FF2C2C2A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1"/>
      <name val="Arial"/>
      <charset val="1"/>
    </font>
    <font>
      <sz val="9"/>
      <color rgb="FF6B7080"/>
      <name val="Arial"/>
      <charset val="1"/>
    </font>
    <font>
      <i/>
      <sz val="9"/>
      <color rgb="FF6B7080"/>
      <name val="Arial"/>
      <charset val="1"/>
    </font>
    <font>
      <b/>
      <sz val="8"/>
      <name val="Arial"/>
      <charset val="1"/>
    </font>
    <font>
      <b/>
      <sz val="16"/>
      <color rgb="FF1C1C1C"/>
      <name val="Arial"/>
      <charset val="1"/>
    </font>
    <font>
      <sz val="10"/>
      <color rgb="FF5A5F6B"/>
      <name val="Arial"/>
      <charset val="1"/>
    </font>
    <font>
      <sz val="10"/>
      <name val="Arial"/>
      <charset val="1"/>
    </font>
  </fonts>
  <fills count="59">
    <fill>
      <patternFill patternType="none"/>
    </fill>
    <fill>
      <patternFill patternType="gray125"/>
    </fill>
    <fill>
      <patternFill patternType="solid">
        <fgColor rgb="FF1F2430"/>
        <bgColor rgb="FF1C1C1C"/>
      </patternFill>
    </fill>
    <fill>
      <patternFill patternType="solid">
        <fgColor rgb="FF8EC9F0"/>
        <bgColor rgb="FF86D6EA"/>
      </patternFill>
    </fill>
    <fill>
      <patternFill patternType="solid">
        <fgColor rgb="FF3A3A40"/>
        <bgColor rgb="FF2C2C2A"/>
      </patternFill>
    </fill>
    <fill>
      <patternFill patternType="solid">
        <fgColor rgb="FFFFFFFF"/>
        <bgColor rgb="FFCCFFFF"/>
      </patternFill>
    </fill>
    <fill>
      <patternFill patternType="solid">
        <fgColor rgb="FFF7D046"/>
        <bgColor rgb="FFF9DE2B"/>
      </patternFill>
    </fill>
    <fill>
      <patternFill patternType="solid">
        <fgColor rgb="FFD9443A"/>
        <bgColor rgb="FFD62828"/>
      </patternFill>
    </fill>
    <fill>
      <patternFill patternType="solid">
        <fgColor rgb="FF1F5F9E"/>
        <bgColor rgb="FF174A78"/>
      </patternFill>
    </fill>
    <fill>
      <patternFill patternType="solid">
        <fgColor rgb="FFC9A66B"/>
        <bgColor rgb="FFB08850"/>
      </patternFill>
    </fill>
    <fill>
      <patternFill patternType="solid">
        <fgColor rgb="FF24386E"/>
        <bgColor rgb="FF1D3F8F"/>
      </patternFill>
    </fill>
    <fill>
      <patternFill patternType="solid">
        <fgColor rgb="FF1C1C1C"/>
        <bgColor rgb="FF1F2430"/>
      </patternFill>
    </fill>
    <fill>
      <patternFill patternType="solid">
        <fgColor rgb="FFD7263D"/>
        <bgColor rgb="FFD62828"/>
      </patternFill>
    </fill>
    <fill>
      <patternFill patternType="solid">
        <fgColor rgb="FFF28C28"/>
        <bgColor rgb="FFF37A20"/>
      </patternFill>
    </fill>
    <fill>
      <patternFill patternType="solid">
        <fgColor rgb="FFF2BE22"/>
        <bgColor rgb="FFFCD116"/>
      </patternFill>
    </fill>
    <fill>
      <patternFill patternType="solid">
        <fgColor rgb="FF5677BD"/>
        <bgColor rgb="FF6B7080"/>
      </patternFill>
    </fill>
    <fill>
      <patternFill patternType="solid">
        <fgColor rgb="FF1FA6A0"/>
        <bgColor rgb="FF2E9BC9"/>
      </patternFill>
    </fill>
    <fill>
      <patternFill patternType="solid">
        <fgColor rgb="FFF5B48C"/>
        <bgColor rgb="FFEBD6A4"/>
      </patternFill>
    </fill>
    <fill>
      <patternFill patternType="solid">
        <fgColor rgb="FF7B4FA0"/>
        <bgColor rgb="FF7B3FA0"/>
      </patternFill>
    </fill>
    <fill>
      <patternFill patternType="solid">
        <fgColor rgb="FFFFF1A8"/>
        <bgColor rgb="FFEBD6A4"/>
      </patternFill>
    </fill>
    <fill>
      <patternFill patternType="solid">
        <fgColor rgb="FFB0814F"/>
        <bgColor rgb="FFB08850"/>
      </patternFill>
    </fill>
    <fill>
      <patternFill patternType="solid">
        <fgColor rgb="FF5A3A22"/>
        <bgColor rgb="FF3A3A40"/>
      </patternFill>
    </fill>
    <fill>
      <patternFill patternType="solid">
        <fgColor rgb="FF8CC56A"/>
        <bgColor rgb="FF8CC63F"/>
      </patternFill>
    </fill>
    <fill>
      <patternFill patternType="solid">
        <fgColor rgb="FF2F7D3A"/>
        <bgColor rgb="FF1E7B34"/>
      </patternFill>
    </fill>
    <fill>
      <patternFill patternType="solid">
        <fgColor rgb="FF86D6EA"/>
        <bgColor rgb="FF8EC9F0"/>
      </patternFill>
    </fill>
    <fill>
      <patternFill patternType="solid">
        <fgColor rgb="FF2E9BC9"/>
        <bgColor rgb="FF1FA6A0"/>
      </patternFill>
    </fill>
    <fill>
      <patternFill patternType="solid">
        <fgColor rgb="FFF9DE2B"/>
        <bgColor rgb="FFFCD116"/>
      </patternFill>
    </fill>
    <fill>
      <patternFill patternType="solid">
        <fgColor rgb="FF174A78"/>
        <bgColor rgb="FF1D3F8F"/>
      </patternFill>
    </fill>
    <fill>
      <patternFill patternType="solid">
        <fgColor rgb="FFEBD6A4"/>
        <bgColor rgb="FFFFF1A8"/>
      </patternFill>
    </fill>
    <fill>
      <patternFill patternType="solid">
        <fgColor rgb="FFF37A20"/>
        <bgColor rgb="FFF77F00"/>
      </patternFill>
    </fill>
    <fill>
      <patternFill patternType="solid">
        <fgColor rgb="FF5DBB4F"/>
        <bgColor rgb="FF8CC63F"/>
      </patternFill>
    </fill>
    <fill>
      <patternFill patternType="solid">
        <fgColor rgb="FFB08850"/>
        <bgColor rgb="FFB0814F"/>
      </patternFill>
    </fill>
    <fill>
      <patternFill patternType="solid">
        <fgColor rgb="FF1E6B35"/>
        <bgColor rgb="FF1E7B34"/>
      </patternFill>
    </fill>
    <fill>
      <patternFill patternType="solid">
        <fgColor rgb="FFF48FB1"/>
        <bgColor rgb="FFF28DB2"/>
      </patternFill>
    </fill>
    <fill>
      <patternFill patternType="solid">
        <fgColor rgb="FFC2185B"/>
        <bgColor rgb="FFD7263D"/>
      </patternFill>
    </fill>
    <fill>
      <patternFill patternType="solid">
        <fgColor rgb="FF8E5BC2"/>
        <bgColor rgb="FF7B4FA0"/>
      </patternFill>
    </fill>
    <fill>
      <patternFill patternType="solid">
        <fgColor rgb="FF8A8D91"/>
        <bgColor rgb="FF9A9EA8"/>
      </patternFill>
    </fill>
    <fill>
      <patternFill patternType="solid">
        <fgColor rgb="FF5BC0EB"/>
        <bgColor rgb="FF8EC9F0"/>
      </patternFill>
    </fill>
    <fill>
      <patternFill patternType="solid">
        <fgColor rgb="FFFCD116"/>
        <bgColor rgb="FFF9DE2B"/>
      </patternFill>
    </fill>
    <fill>
      <patternFill patternType="solid">
        <fgColor rgb="FFD62828"/>
        <bgColor rgb="FFD7263D"/>
      </patternFill>
    </fill>
    <fill>
      <patternFill patternType="solid">
        <fgColor rgb="FF8CC63F"/>
        <bgColor rgb="FF8CC56A"/>
      </patternFill>
    </fill>
    <fill>
      <patternFill patternType="solid">
        <fgColor rgb="FF1D3F8F"/>
        <bgColor rgb="FF174A78"/>
      </patternFill>
    </fill>
    <fill>
      <patternFill patternType="solid">
        <fgColor rgb="FF7B3FA0"/>
        <bgColor rgb="FF7B4FA0"/>
      </patternFill>
    </fill>
    <fill>
      <patternFill patternType="solid">
        <fgColor rgb="FFF77F00"/>
        <bgColor rgb="FFF37A20"/>
      </patternFill>
    </fill>
    <fill>
      <patternFill patternType="solid">
        <fgColor rgb="FFF28DB2"/>
        <bgColor rgb="FFF48FB1"/>
      </patternFill>
    </fill>
    <fill>
      <patternFill patternType="solid">
        <fgColor rgb="FF1E7B34"/>
        <bgColor rgb="FF2F7D3A"/>
      </patternFill>
    </fill>
    <fill>
      <patternFill patternType="solid">
        <fgColor rgb="FF7A4A26"/>
        <bgColor rgb="FF5A3A22"/>
      </patternFill>
    </fill>
    <fill>
      <patternFill patternType="solid">
        <fgColor rgb="FF002060"/>
        <bgColor rgb="FF000080"/>
      </patternFill>
    </fill>
    <fill>
      <patternFill patternType="solid">
        <fgColor rgb="FFFFC000"/>
        <bgColor rgb="FFF79646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008080"/>
      </patternFill>
    </fill>
    <fill>
      <patternFill patternType="solid">
        <fgColor rgb="FFEEECE1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1C1C1C"/>
      </patternFill>
    </fill>
    <fill>
      <patternFill patternType="solid">
        <fgColor rgb="FFF79646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EEECE1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C0C0C0"/>
      </patternFill>
    </fill>
  </fills>
  <borders count="11">
    <border>
      <left/>
      <right/>
      <top/>
      <bottom/>
      <diagonal/>
    </border>
    <border>
      <left style="thin">
        <color rgb="FF9A9EA8"/>
      </left>
      <right style="thin">
        <color rgb="FF9A9EA8"/>
      </right>
      <top style="thin">
        <color rgb="FF9A9EA8"/>
      </top>
      <bottom style="thin">
        <color rgb="FF9A9EA8"/>
      </bottom>
      <diagonal/>
    </border>
    <border>
      <left style="medium">
        <color rgb="FF1C1C1C"/>
      </left>
      <right style="thin">
        <color rgb="FF8A8F99"/>
      </right>
      <top style="medium">
        <color rgb="FF1C1C1C"/>
      </top>
      <bottom style="thin">
        <color rgb="FF8A8F99"/>
      </bottom>
      <diagonal/>
    </border>
    <border>
      <left style="thin">
        <color rgb="FF8A8F99"/>
      </left>
      <right style="thin">
        <color rgb="FF8A8F99"/>
      </right>
      <top style="medium">
        <color rgb="FF1C1C1C"/>
      </top>
      <bottom style="thin">
        <color rgb="FF8A8F99"/>
      </bottom>
      <diagonal/>
    </border>
    <border>
      <left style="thin">
        <color rgb="FF8A8F99"/>
      </left>
      <right style="medium">
        <color rgb="FF1C1C1C"/>
      </right>
      <top style="medium">
        <color rgb="FF1C1C1C"/>
      </top>
      <bottom style="thin">
        <color rgb="FF8A8F99"/>
      </bottom>
      <diagonal/>
    </border>
    <border>
      <left style="medium">
        <color rgb="FF1C1C1C"/>
      </left>
      <right style="thin">
        <color rgb="FF8A8F99"/>
      </right>
      <top style="thin">
        <color rgb="FF8A8F99"/>
      </top>
      <bottom style="thin">
        <color rgb="FF8A8F99"/>
      </bottom>
      <diagonal/>
    </border>
    <border>
      <left style="thin">
        <color rgb="FF8A8F99"/>
      </left>
      <right style="thin">
        <color rgb="FF8A8F99"/>
      </right>
      <top style="thin">
        <color rgb="FF8A8F99"/>
      </top>
      <bottom style="thin">
        <color rgb="FF8A8F99"/>
      </bottom>
      <diagonal/>
    </border>
    <border>
      <left style="thin">
        <color rgb="FF8A8F99"/>
      </left>
      <right style="medium">
        <color rgb="FF1C1C1C"/>
      </right>
      <top style="thin">
        <color rgb="FF8A8F99"/>
      </top>
      <bottom style="thin">
        <color rgb="FF8A8F99"/>
      </bottom>
      <diagonal/>
    </border>
    <border>
      <left style="medium">
        <color rgb="FF1C1C1C"/>
      </left>
      <right style="thin">
        <color rgb="FF8A8F99"/>
      </right>
      <top style="thin">
        <color rgb="FF8A8F99"/>
      </top>
      <bottom style="medium">
        <color rgb="FF1C1C1C"/>
      </bottom>
      <diagonal/>
    </border>
    <border>
      <left style="thin">
        <color rgb="FF8A8F99"/>
      </left>
      <right style="thin">
        <color rgb="FF8A8F99"/>
      </right>
      <top style="thin">
        <color rgb="FF8A8F99"/>
      </top>
      <bottom style="medium">
        <color rgb="FF1C1C1C"/>
      </bottom>
      <diagonal/>
    </border>
    <border>
      <left style="thin">
        <color rgb="FF8A8F99"/>
      </left>
      <right style="medium">
        <color rgb="FF1C1C1C"/>
      </right>
      <top style="thin">
        <color rgb="FF8A8F99"/>
      </top>
      <bottom style="medium">
        <color rgb="FF1C1C1C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3" borderId="1" xfId="0" applyFill="1" applyBorder="1"/>
    <xf numFmtId="0" fontId="11" fillId="0" borderId="0" xfId="0" applyFont="1"/>
    <xf numFmtId="0" fontId="4" fillId="0" borderId="0" xfId="0" applyFont="1" applyAlignment="1">
      <alignment horizontal="center"/>
    </xf>
    <xf numFmtId="0" fontId="0" fillId="5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6" borderId="1" xfId="0" applyFill="1" applyBorder="1"/>
    <xf numFmtId="0" fontId="0" fillId="4" borderId="1" xfId="0" applyFill="1" applyBorder="1"/>
    <xf numFmtId="0" fontId="9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10" fillId="0" borderId="0" xfId="0" applyFont="1"/>
    <xf numFmtId="0" fontId="12" fillId="0" borderId="0" xfId="0" applyFont="1"/>
    <xf numFmtId="0" fontId="9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9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9" fillId="16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9" fillId="18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9" fillId="15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7" fillId="17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9" fillId="20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0" fillId="21" borderId="1" xfId="0" applyFill="1" applyBorder="1"/>
    <xf numFmtId="0" fontId="7" fillId="22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9" fillId="21" borderId="1" xfId="0" applyFont="1" applyFill="1" applyBorder="1" applyAlignment="1">
      <alignment horizontal="center" vertical="center"/>
    </xf>
    <xf numFmtId="0" fontId="0" fillId="23" borderId="1" xfId="0" applyFill="1" applyBorder="1"/>
    <xf numFmtId="0" fontId="0" fillId="11" borderId="1" xfId="0" applyFill="1" applyBorder="1"/>
    <xf numFmtId="0" fontId="9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0" fillId="24" borderId="1" xfId="0" applyFill="1" applyBorder="1"/>
    <xf numFmtId="0" fontId="0" fillId="25" borderId="1" xfId="0" applyFill="1" applyBorder="1"/>
    <xf numFmtId="0" fontId="7" fillId="26" borderId="1" xfId="0" applyFont="1" applyFill="1" applyBorder="1" applyAlignment="1">
      <alignment horizontal="center" vertical="center"/>
    </xf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9" fillId="25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0" fillId="26" borderId="1" xfId="0" applyFill="1" applyBorder="1"/>
    <xf numFmtId="0" fontId="7" fillId="30" borderId="1" xfId="0" applyFont="1" applyFill="1" applyBorder="1" applyAlignment="1">
      <alignment horizontal="center" vertical="center"/>
    </xf>
    <xf numFmtId="0" fontId="0" fillId="31" borderId="1" xfId="0" applyFill="1" applyBorder="1"/>
    <xf numFmtId="0" fontId="9" fillId="32" borderId="1" xfId="0" applyFont="1" applyFill="1" applyBorder="1" applyAlignment="1">
      <alignment horizontal="center" vertical="center"/>
    </xf>
    <xf numFmtId="0" fontId="0" fillId="33" borderId="1" xfId="0" applyFill="1" applyBorder="1"/>
    <xf numFmtId="0" fontId="7" fillId="33" borderId="1" xfId="0" applyFont="1" applyFill="1" applyBorder="1" applyAlignment="1">
      <alignment horizontal="center" vertical="center"/>
    </xf>
    <xf numFmtId="0" fontId="0" fillId="34" borderId="1" xfId="0" applyFill="1" applyBorder="1"/>
    <xf numFmtId="0" fontId="9" fillId="27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0" fillId="30" borderId="1" xfId="0" applyFill="1" applyBorder="1"/>
    <xf numFmtId="0" fontId="0" fillId="32" borderId="1" xfId="0" applyFill="1" applyBorder="1"/>
    <xf numFmtId="0" fontId="0" fillId="35" borderId="1" xfId="0" applyFill="1" applyBorder="1"/>
    <xf numFmtId="0" fontId="7" fillId="36" borderId="1" xfId="0" applyFont="1" applyFill="1" applyBorder="1" applyAlignment="1">
      <alignment horizontal="center" vertical="center"/>
    </xf>
    <xf numFmtId="0" fontId="0" fillId="36" borderId="1" xfId="0" applyFill="1" applyBorder="1"/>
    <xf numFmtId="0" fontId="7" fillId="28" borderId="1" xfId="0" applyFont="1" applyFill="1" applyBorder="1" applyAlignment="1">
      <alignment horizontal="center" vertical="center"/>
    </xf>
    <xf numFmtId="0" fontId="9" fillId="35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9" fillId="39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9" fillId="41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7" fillId="43" borderId="1" xfId="0" applyFont="1" applyFill="1" applyBorder="1" applyAlignment="1">
      <alignment horizontal="center" vertical="center"/>
    </xf>
    <xf numFmtId="0" fontId="0" fillId="39" borderId="1" xfId="0" applyFill="1" applyBorder="1"/>
    <xf numFmtId="0" fontId="7" fillId="44" borderId="1" xfId="0" applyFont="1" applyFill="1" applyBorder="1" applyAlignment="1">
      <alignment horizontal="center" vertical="center"/>
    </xf>
    <xf numFmtId="0" fontId="0" fillId="43" borderId="1" xfId="0" applyFill="1" applyBorder="1"/>
    <xf numFmtId="0" fontId="0" fillId="38" borderId="1" xfId="0" applyFill="1" applyBorder="1"/>
    <xf numFmtId="0" fontId="0" fillId="40" borderId="1" xfId="0" applyFill="1" applyBorder="1"/>
    <xf numFmtId="0" fontId="9" fillId="45" borderId="1" xfId="0" applyFont="1" applyFill="1" applyBorder="1" applyAlignment="1">
      <alignment horizontal="center" vertical="center"/>
    </xf>
    <xf numFmtId="0" fontId="0" fillId="45" borderId="1" xfId="0" applyFill="1" applyBorder="1"/>
    <xf numFmtId="0" fontId="0" fillId="37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4" borderId="1" xfId="0" applyFill="1" applyBorder="1"/>
    <xf numFmtId="0" fontId="0" fillId="46" borderId="1" xfId="0" applyFill="1" applyBorder="1"/>
    <xf numFmtId="0" fontId="9" fillId="4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47" borderId="2" xfId="0" applyFill="1" applyBorder="1" applyAlignment="1">
      <alignment horizontal="center" vertical="center"/>
    </xf>
    <xf numFmtId="0" fontId="0" fillId="47" borderId="3" xfId="0" applyFill="1" applyBorder="1" applyAlignment="1">
      <alignment horizontal="center" vertical="center"/>
    </xf>
    <xf numFmtId="0" fontId="0" fillId="48" borderId="3" xfId="0" applyFill="1" applyBorder="1" applyAlignment="1">
      <alignment horizontal="center" vertical="center"/>
    </xf>
    <xf numFmtId="0" fontId="0" fillId="47" borderId="4" xfId="0" applyFill="1" applyBorder="1" applyAlignment="1">
      <alignment horizontal="center" vertical="center"/>
    </xf>
    <xf numFmtId="0" fontId="0" fillId="49" borderId="5" xfId="0" applyFill="1" applyBorder="1" applyAlignment="1">
      <alignment horizontal="center" vertical="center"/>
    </xf>
    <xf numFmtId="0" fontId="0" fillId="50" borderId="6" xfId="0" applyFill="1" applyBorder="1" applyAlignment="1">
      <alignment horizontal="center" vertical="center"/>
    </xf>
    <xf numFmtId="0" fontId="0" fillId="49" borderId="6" xfId="0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51" borderId="6" xfId="0" applyFill="1" applyBorder="1" applyAlignment="1">
      <alignment horizontal="center" vertical="center"/>
    </xf>
    <xf numFmtId="0" fontId="0" fillId="52" borderId="6" xfId="0" applyFill="1" applyBorder="1" applyAlignment="1">
      <alignment horizontal="center" vertical="center"/>
    </xf>
    <xf numFmtId="0" fontId="0" fillId="48" borderId="6" xfId="0" applyFill="1" applyBorder="1" applyAlignment="1">
      <alignment horizontal="center" vertical="center"/>
    </xf>
    <xf numFmtId="0" fontId="0" fillId="47" borderId="7" xfId="0" applyFill="1" applyBorder="1" applyAlignment="1">
      <alignment horizontal="center" vertical="center"/>
    </xf>
    <xf numFmtId="0" fontId="0" fillId="53" borderId="6" xfId="0" applyFill="1" applyBorder="1" applyAlignment="1">
      <alignment horizontal="center" vertical="center"/>
    </xf>
    <xf numFmtId="0" fontId="0" fillId="54" borderId="6" xfId="0" applyFill="1" applyBorder="1" applyAlignment="1">
      <alignment horizontal="center" vertical="center"/>
    </xf>
    <xf numFmtId="0" fontId="0" fillId="48" borderId="7" xfId="0" applyFill="1" applyBorder="1" applyAlignment="1">
      <alignment horizontal="center" vertical="center"/>
    </xf>
    <xf numFmtId="0" fontId="0" fillId="47" borderId="5" xfId="0" applyFill="1" applyBorder="1" applyAlignment="1">
      <alignment horizontal="center" vertical="center"/>
    </xf>
    <xf numFmtId="0" fontId="0" fillId="55" borderId="6" xfId="0" applyFill="1" applyBorder="1" applyAlignment="1">
      <alignment horizontal="center" vertical="center"/>
    </xf>
    <xf numFmtId="0" fontId="0" fillId="56" borderId="6" xfId="0" applyFill="1" applyBorder="1" applyAlignment="1">
      <alignment horizontal="center" vertical="center"/>
    </xf>
    <xf numFmtId="0" fontId="0" fillId="57" borderId="6" xfId="0" applyFill="1" applyBorder="1" applyAlignment="1">
      <alignment horizontal="center" vertical="center"/>
    </xf>
    <xf numFmtId="0" fontId="0" fillId="58" borderId="6" xfId="0" applyFill="1" applyBorder="1" applyAlignment="1">
      <alignment horizontal="center" vertical="center"/>
    </xf>
    <xf numFmtId="0" fontId="0" fillId="52" borderId="5" xfId="0" applyFill="1" applyBorder="1" applyAlignment="1">
      <alignment horizontal="center" vertical="center"/>
    </xf>
    <xf numFmtId="0" fontId="0" fillId="53" borderId="5" xfId="0" applyFill="1" applyBorder="1" applyAlignment="1">
      <alignment horizontal="center" vertical="center"/>
    </xf>
    <xf numFmtId="0" fontId="0" fillId="56" borderId="7" xfId="0" applyFill="1" applyBorder="1" applyAlignment="1">
      <alignment horizontal="center" vertical="center"/>
    </xf>
    <xf numFmtId="0" fontId="0" fillId="51" borderId="5" xfId="0" applyFill="1" applyBorder="1" applyAlignment="1">
      <alignment horizontal="center" vertical="center"/>
    </xf>
    <xf numFmtId="0" fontId="0" fillId="51" borderId="8" xfId="0" applyFill="1" applyBorder="1" applyAlignment="1">
      <alignment horizontal="center" vertical="center"/>
    </xf>
    <xf numFmtId="0" fontId="0" fillId="53" borderId="9" xfId="0" applyFill="1" applyBorder="1" applyAlignment="1">
      <alignment horizontal="center" vertical="center"/>
    </xf>
    <xf numFmtId="0" fontId="0" fillId="51" borderId="9" xfId="0" applyFill="1" applyBorder="1" applyAlignment="1">
      <alignment horizontal="center" vertical="center"/>
    </xf>
    <xf numFmtId="0" fontId="0" fillId="47" borderId="9" xfId="0" applyFill="1" applyBorder="1" applyAlignment="1">
      <alignment horizontal="center" vertical="center"/>
    </xf>
    <xf numFmtId="0" fontId="0" fillId="56" borderId="9" xfId="0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6" xfId="0" applyFill="1" applyBorder="1"/>
    <xf numFmtId="0" fontId="0" fillId="48" borderId="6" xfId="0" applyFill="1" applyBorder="1"/>
    <xf numFmtId="0" fontId="0" fillId="50" borderId="6" xfId="0" applyFill="1" applyBorder="1"/>
    <xf numFmtId="0" fontId="0" fillId="55" borderId="6" xfId="0" applyFill="1" applyBorder="1"/>
    <xf numFmtId="0" fontId="0" fillId="49" borderId="6" xfId="0" applyFill="1" applyBorder="1"/>
    <xf numFmtId="0" fontId="0" fillId="56" borderId="6" xfId="0" applyFill="1" applyBorder="1"/>
    <xf numFmtId="0" fontId="0" fillId="57" borderId="6" xfId="0" applyFill="1" applyBorder="1"/>
    <xf numFmtId="0" fontId="0" fillId="53" borderId="6" xfId="0" applyFill="1" applyBorder="1"/>
    <xf numFmtId="0" fontId="0" fillId="58" borderId="6" xfId="0" applyFill="1" applyBorder="1"/>
    <xf numFmtId="0" fontId="0" fillId="51" borderId="6" xfId="0" applyFill="1" applyBorder="1"/>
    <xf numFmtId="0" fontId="0" fillId="52" borderId="6" xfId="0" applyFill="1" applyBorder="1"/>
    <xf numFmtId="0" fontId="0" fillId="54" borderId="6" xfId="0" applyFill="1" applyBorder="1"/>
    <xf numFmtId="0" fontId="16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85">
    <dxf>
      <font>
        <b/>
        <color rgb="FFFFFFFF"/>
      </font>
      <fill>
        <patternFill>
          <bgColor rgb="FF7A4A26"/>
        </patternFill>
      </fill>
    </dxf>
    <dxf>
      <font>
        <b/>
        <color rgb="FF2C2C2A"/>
      </font>
      <fill>
        <patternFill>
          <bgColor rgb="FFF28DB2"/>
        </patternFill>
      </fill>
    </dxf>
    <dxf>
      <font>
        <b/>
        <color rgb="FFFFFFFF"/>
      </font>
      <fill>
        <patternFill>
          <bgColor rgb="FF7B3FA0"/>
        </patternFill>
      </fill>
    </dxf>
    <dxf>
      <font>
        <b/>
        <color rgb="FFFFFFFF"/>
      </font>
      <fill>
        <patternFill>
          <bgColor rgb="FF1D3F8F"/>
        </patternFill>
      </fill>
    </dxf>
    <dxf>
      <font>
        <b/>
        <color rgb="FF2C2C2A"/>
      </font>
      <fill>
        <patternFill>
          <bgColor rgb="FF5BC0EB"/>
        </patternFill>
      </fill>
    </dxf>
    <dxf>
      <font>
        <b/>
        <color rgb="FFFFFFFF"/>
      </font>
      <fill>
        <patternFill>
          <bgColor rgb="FF1E7B34"/>
        </patternFill>
      </fill>
    </dxf>
    <dxf>
      <font>
        <b/>
        <color rgb="FF2C2C2A"/>
      </font>
      <fill>
        <patternFill>
          <bgColor rgb="FF8CC63F"/>
        </patternFill>
      </fill>
    </dxf>
    <dxf>
      <font>
        <b/>
        <color rgb="FF2C2C2A"/>
      </font>
      <fill>
        <patternFill>
          <bgColor rgb="FFFCD116"/>
        </patternFill>
      </fill>
    </dxf>
    <dxf>
      <font>
        <b/>
        <color rgb="FF2C2C2A"/>
      </font>
      <fill>
        <patternFill>
          <bgColor rgb="FFF77F00"/>
        </patternFill>
      </fill>
    </dxf>
    <dxf>
      <font>
        <b/>
        <color rgb="FFFFFFFF"/>
      </font>
      <fill>
        <patternFill>
          <bgColor rgb="FFD62828"/>
        </patternFill>
      </fill>
    </dxf>
    <dxf>
      <font>
        <b/>
        <color rgb="FF2C2C2A"/>
      </font>
      <fill>
        <patternFill>
          <bgColor rgb="FFFFFFFF"/>
        </patternFill>
      </fill>
    </dxf>
    <dxf>
      <font>
        <b/>
        <color rgb="FFFFFFFF"/>
      </font>
      <fill>
        <patternFill>
          <bgColor rgb="FF1C1C1C"/>
        </patternFill>
      </fill>
    </dxf>
    <dxf>
      <font>
        <b/>
        <color rgb="FF1C1C1C"/>
        <name val="Arial"/>
        <charset val="1"/>
      </font>
      <fill>
        <patternFill>
          <bgColor rgb="FFF79646"/>
        </patternFill>
      </fill>
    </dxf>
    <dxf>
      <font>
        <b/>
        <color rgb="FF1C1C1C"/>
        <name val="Arial"/>
        <charset val="1"/>
      </font>
      <fill>
        <patternFill>
          <bgColor rgb="FFEEECE1"/>
        </patternFill>
      </fill>
    </dxf>
    <dxf>
      <font>
        <b/>
        <color rgb="FFFFFFFF"/>
        <name val="Arial"/>
        <charset val="1"/>
      </font>
    </dxf>
    <dxf>
      <font>
        <b/>
        <color rgb="FF1C1C1C"/>
        <name val="Arial"/>
        <charset val="1"/>
      </font>
      <fill>
        <patternFill>
          <bgColor rgb="FFFFFFFF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1C1C1C"/>
        <name val="Arial"/>
        <charset val="1"/>
      </font>
      <fill>
        <patternFill>
          <bgColor rgb="FFFFC000"/>
        </patternFill>
      </fill>
    </dxf>
    <dxf>
      <font>
        <b/>
        <color rgb="FF1C1C1C"/>
        <name val="Arial"/>
        <charset val="1"/>
      </font>
      <fill>
        <patternFill>
          <bgColor rgb="FFFFFF00"/>
        </patternFill>
      </fill>
    </dxf>
    <dxf>
      <font>
        <b/>
        <color rgb="FF1C1C1C"/>
        <name val="Arial"/>
        <charset val="1"/>
      </font>
      <fill>
        <patternFill>
          <bgColor rgb="FF92D050"/>
        </patternFill>
      </fill>
    </dxf>
    <dxf>
      <font>
        <b/>
        <color rgb="FFFFFFFF"/>
        <name val="Arial"/>
        <charset val="1"/>
      </font>
      <fill>
        <patternFill>
          <bgColor rgb="FF00B050"/>
        </patternFill>
      </fill>
    </dxf>
    <dxf>
      <font>
        <b/>
        <color rgb="FFFFFFFF"/>
        <name val="Arial"/>
        <charset val="1"/>
      </font>
      <fill>
        <patternFill>
          <bgColor rgb="FF00B0F0"/>
        </patternFill>
      </fill>
    </dxf>
    <dxf>
      <font>
        <b/>
        <color rgb="FFFFFFFF"/>
        <name val="Arial"/>
        <charset val="1"/>
      </font>
      <fill>
        <patternFill>
          <bgColor rgb="FF0070C0"/>
        </patternFill>
      </fill>
    </dxf>
    <dxf>
      <font>
        <b/>
        <color rgb="FFFFFFFF"/>
        <name val="Arial"/>
        <charset val="1"/>
      </font>
      <fill>
        <patternFill>
          <bgColor rgb="FF002060"/>
        </patternFill>
      </fill>
    </dxf>
    <dxf>
      <font>
        <b/>
        <color rgb="FFFFFFFF"/>
      </font>
      <fill>
        <patternFill>
          <bgColor rgb="FF7A4A26"/>
        </patternFill>
      </fill>
    </dxf>
    <dxf>
      <font>
        <b/>
        <color rgb="FF2C2C2A"/>
      </font>
      <fill>
        <patternFill>
          <bgColor rgb="FFF28DB2"/>
        </patternFill>
      </fill>
    </dxf>
    <dxf>
      <font>
        <b/>
        <color rgb="FFFFFFFF"/>
      </font>
      <fill>
        <patternFill>
          <bgColor rgb="FF7B3FA0"/>
        </patternFill>
      </fill>
    </dxf>
    <dxf>
      <font>
        <b/>
        <color rgb="FFFFFFFF"/>
      </font>
      <fill>
        <patternFill>
          <bgColor rgb="FF1D3F8F"/>
        </patternFill>
      </fill>
    </dxf>
    <dxf>
      <font>
        <b/>
        <color rgb="FF2C2C2A"/>
      </font>
      <fill>
        <patternFill>
          <bgColor rgb="FF5BC0EB"/>
        </patternFill>
      </fill>
    </dxf>
    <dxf>
      <font>
        <b/>
        <color rgb="FFFFFFFF"/>
      </font>
      <fill>
        <patternFill>
          <bgColor rgb="FF1E7B34"/>
        </patternFill>
      </fill>
    </dxf>
    <dxf>
      <font>
        <b/>
        <color rgb="FF2C2C2A"/>
      </font>
      <fill>
        <patternFill>
          <bgColor rgb="FF8CC63F"/>
        </patternFill>
      </fill>
    </dxf>
    <dxf>
      <font>
        <b/>
        <color rgb="FF2C2C2A"/>
      </font>
      <fill>
        <patternFill>
          <bgColor rgb="FFFCD116"/>
        </patternFill>
      </fill>
    </dxf>
    <dxf>
      <font>
        <b/>
        <color rgb="FF2C2C2A"/>
      </font>
      <fill>
        <patternFill>
          <bgColor rgb="FFF77F00"/>
        </patternFill>
      </fill>
    </dxf>
    <dxf>
      <font>
        <b/>
        <color rgb="FFFFFFFF"/>
      </font>
      <fill>
        <patternFill>
          <bgColor rgb="FFD62828"/>
        </patternFill>
      </fill>
    </dxf>
    <dxf>
      <font>
        <b/>
        <color rgb="FF2C2C2A"/>
      </font>
      <fill>
        <patternFill>
          <bgColor rgb="FFFFFFFF"/>
        </patternFill>
      </fill>
    </dxf>
    <dxf>
      <font>
        <b/>
        <color rgb="FFFFFFFF"/>
      </font>
      <fill>
        <patternFill>
          <bgColor rgb="FF1C1C1C"/>
        </patternFill>
      </fill>
    </dxf>
    <dxf>
      <font>
        <b/>
        <color rgb="FFFFFFFF"/>
      </font>
      <fill>
        <patternFill>
          <bgColor rgb="FF7A4A26"/>
        </patternFill>
      </fill>
    </dxf>
    <dxf>
      <font>
        <b/>
        <color rgb="FF2C2C2A"/>
      </font>
      <fill>
        <patternFill>
          <bgColor rgb="FFF28DB2"/>
        </patternFill>
      </fill>
    </dxf>
    <dxf>
      <font>
        <b/>
        <color rgb="FFFFFFFF"/>
      </font>
      <fill>
        <patternFill>
          <bgColor rgb="FF7B3FA0"/>
        </patternFill>
      </fill>
    </dxf>
    <dxf>
      <font>
        <b/>
        <color rgb="FFFFFFFF"/>
      </font>
      <fill>
        <patternFill>
          <bgColor rgb="FF1D3F8F"/>
        </patternFill>
      </fill>
    </dxf>
    <dxf>
      <font>
        <b/>
        <color rgb="FF2C2C2A"/>
      </font>
      <fill>
        <patternFill>
          <bgColor rgb="FF5BC0EB"/>
        </patternFill>
      </fill>
    </dxf>
    <dxf>
      <font>
        <b/>
        <color rgb="FFFFFFFF"/>
      </font>
      <fill>
        <patternFill>
          <bgColor rgb="FF1E7B34"/>
        </patternFill>
      </fill>
    </dxf>
    <dxf>
      <font>
        <b/>
        <color rgb="FF2C2C2A"/>
      </font>
      <fill>
        <patternFill>
          <bgColor rgb="FF8CC63F"/>
        </patternFill>
      </fill>
    </dxf>
    <dxf>
      <font>
        <b/>
        <color rgb="FF2C2C2A"/>
      </font>
      <fill>
        <patternFill>
          <bgColor rgb="FFFCD116"/>
        </patternFill>
      </fill>
    </dxf>
    <dxf>
      <font>
        <b/>
        <color rgb="FF2C2C2A"/>
      </font>
      <fill>
        <patternFill>
          <bgColor rgb="FFF77F00"/>
        </patternFill>
      </fill>
    </dxf>
    <dxf>
      <font>
        <b/>
        <color rgb="FFFFFFFF"/>
      </font>
      <fill>
        <patternFill>
          <bgColor rgb="FFD62828"/>
        </patternFill>
      </fill>
    </dxf>
    <dxf>
      <font>
        <b/>
        <color rgb="FF2C2C2A"/>
      </font>
      <fill>
        <patternFill>
          <bgColor rgb="FFFFFFFF"/>
        </patternFill>
      </fill>
    </dxf>
    <dxf>
      <font>
        <b/>
        <color rgb="FFFFFFFF"/>
      </font>
      <fill>
        <patternFill>
          <bgColor rgb="FF1C1C1C"/>
        </patternFill>
      </fill>
    </dxf>
    <dxf>
      <font>
        <b/>
        <color rgb="FF2C2C2A"/>
      </font>
      <fill>
        <patternFill>
          <bgColor rgb="FF8A8D91"/>
        </patternFill>
      </fill>
    </dxf>
    <dxf>
      <font>
        <b/>
        <color rgb="FFFFFFFF"/>
      </font>
      <fill>
        <patternFill>
          <bgColor rgb="FF8E5BC2"/>
        </patternFill>
      </fill>
    </dxf>
    <dxf>
      <font>
        <b/>
        <color rgb="FFFFFFFF"/>
      </font>
      <fill>
        <patternFill>
          <bgColor rgb="FF1E6B35"/>
        </patternFill>
      </fill>
    </dxf>
    <dxf>
      <font>
        <b/>
        <color rgb="FF2C2C2A"/>
      </font>
      <fill>
        <patternFill>
          <bgColor rgb="FF5DBB4F"/>
        </patternFill>
      </fill>
    </dxf>
    <dxf>
      <font>
        <b/>
        <color rgb="FFFFFFFF"/>
      </font>
      <fill>
        <patternFill>
          <bgColor rgb="FFC2185B"/>
        </patternFill>
      </fill>
    </dxf>
    <dxf>
      <font>
        <b/>
        <color rgb="FF2C2C2A"/>
      </font>
      <fill>
        <patternFill>
          <bgColor rgb="FFF48FB1"/>
        </patternFill>
      </fill>
    </dxf>
    <dxf>
      <font>
        <b/>
        <color rgb="FF2C2C2A"/>
      </font>
      <fill>
        <patternFill>
          <bgColor rgb="FFB08850"/>
        </patternFill>
      </fill>
    </dxf>
    <dxf>
      <font>
        <b/>
        <color rgb="FF2C2C2A"/>
      </font>
      <fill>
        <patternFill>
          <bgColor rgb="FFF9DE2B"/>
        </patternFill>
      </fill>
    </dxf>
    <dxf>
      <font>
        <b/>
        <color rgb="FFFFFFFF"/>
      </font>
      <fill>
        <patternFill>
          <bgColor rgb="FF1C1C1C"/>
        </patternFill>
      </fill>
    </dxf>
    <dxf>
      <font>
        <b/>
        <color rgb="FF2C2C2A"/>
      </font>
      <fill>
        <patternFill>
          <bgColor rgb="FFFFFFFF"/>
        </patternFill>
      </fill>
    </dxf>
    <dxf>
      <font>
        <b/>
        <color rgb="FF2C2C2A"/>
      </font>
      <fill>
        <patternFill>
          <bgColor rgb="FFF37A20"/>
        </patternFill>
      </fill>
    </dxf>
    <dxf>
      <font>
        <b/>
        <color rgb="FF2C2C2A"/>
      </font>
      <fill>
        <patternFill>
          <bgColor rgb="FFEBD6A4"/>
        </patternFill>
      </fill>
    </dxf>
    <dxf>
      <font>
        <b/>
        <color rgb="FFFFFFFF"/>
      </font>
      <fill>
        <patternFill>
          <bgColor rgb="FF174A78"/>
        </patternFill>
      </fill>
    </dxf>
    <dxf>
      <font>
        <b/>
        <color rgb="FFFFFFFF"/>
      </font>
      <fill>
        <patternFill>
          <bgColor rgb="FF2E9BC9"/>
        </patternFill>
      </fill>
    </dxf>
    <dxf>
      <font>
        <b/>
        <color rgb="FF2C2C2A"/>
      </font>
      <fill>
        <patternFill>
          <bgColor rgb="FF86D6EA"/>
        </patternFill>
      </fill>
    </dxf>
    <dxf>
      <font>
        <b/>
        <color rgb="FFFFFFFF"/>
      </font>
      <fill>
        <patternFill>
          <bgColor rgb="FF1C1C1C"/>
        </patternFill>
      </fill>
    </dxf>
    <dxf>
      <font>
        <b/>
        <color rgb="FFFFFFFF"/>
      </font>
      <fill>
        <patternFill>
          <bgColor rgb="FF2F7D3A"/>
        </patternFill>
      </fill>
    </dxf>
    <dxf>
      <font>
        <b/>
        <color rgb="FF2C2C2A"/>
      </font>
      <fill>
        <patternFill>
          <bgColor rgb="FF8CC56A"/>
        </patternFill>
      </fill>
    </dxf>
    <dxf>
      <font>
        <b/>
        <color rgb="FFFFFFFF"/>
      </font>
      <fill>
        <patternFill>
          <bgColor rgb="FF5A3A22"/>
        </patternFill>
      </fill>
    </dxf>
    <dxf>
      <font>
        <b/>
        <color rgb="FFFFFFFF"/>
      </font>
      <fill>
        <patternFill>
          <bgColor rgb="FFB0814F"/>
        </patternFill>
      </fill>
    </dxf>
    <dxf>
      <font>
        <b/>
        <color rgb="FFFFFFFF"/>
      </font>
      <fill>
        <patternFill>
          <bgColor rgb="FF7B4FA0"/>
        </patternFill>
      </fill>
    </dxf>
    <dxf>
      <font>
        <b/>
        <color rgb="FFFFFFFF"/>
      </font>
      <fill>
        <patternFill>
          <bgColor rgb="FF1FA6A0"/>
        </patternFill>
      </fill>
    </dxf>
    <dxf>
      <font>
        <b/>
        <color rgb="FF2C2C2A"/>
      </font>
      <fill>
        <patternFill>
          <bgColor rgb="FFF2BE22"/>
        </patternFill>
      </fill>
    </dxf>
    <dxf>
      <font>
        <b/>
        <color rgb="FF2C2C2A"/>
      </font>
      <fill>
        <patternFill>
          <bgColor rgb="FFF28C28"/>
        </patternFill>
      </fill>
    </dxf>
    <dxf>
      <font>
        <b/>
        <color rgb="FFFFFFFF"/>
      </font>
      <fill>
        <patternFill>
          <bgColor rgb="FFD7263D"/>
        </patternFill>
      </fill>
    </dxf>
    <dxf>
      <font>
        <b/>
        <color rgb="FF2C2C2A"/>
      </font>
      <fill>
        <patternFill>
          <bgColor rgb="FFFFFFFF"/>
        </patternFill>
      </fill>
    </dxf>
    <dxf>
      <font>
        <b/>
        <color rgb="FF2C2C2A"/>
      </font>
      <fill>
        <patternFill>
          <bgColor rgb="FFFFF1A8"/>
        </patternFill>
      </fill>
    </dxf>
    <dxf>
      <font>
        <b/>
        <color rgb="FF2C2C2A"/>
      </font>
      <fill>
        <patternFill>
          <bgColor rgb="FFF5B48C"/>
        </patternFill>
      </fill>
    </dxf>
    <dxf>
      <font>
        <b/>
        <color rgb="FFFFFFFF"/>
      </font>
      <fill>
        <patternFill>
          <bgColor rgb="FF5677BD"/>
        </patternFill>
      </fill>
    </dxf>
    <dxf>
      <font>
        <b/>
        <color rgb="FFFFFFFF"/>
      </font>
      <fill>
        <patternFill>
          <bgColor rgb="FF24386E"/>
        </patternFill>
      </fill>
    </dxf>
    <dxf>
      <font>
        <b/>
        <color rgb="FF2C2C2A"/>
      </font>
      <fill>
        <patternFill>
          <bgColor rgb="FFC9A66B"/>
        </patternFill>
      </fill>
    </dxf>
    <dxf>
      <font>
        <b/>
        <color rgb="FFFFFFFF"/>
      </font>
      <fill>
        <patternFill>
          <bgColor rgb="FF1F5F9E"/>
        </patternFill>
      </fill>
    </dxf>
    <dxf>
      <font>
        <b/>
        <color rgb="FFFFFFFF"/>
      </font>
      <fill>
        <patternFill>
          <bgColor rgb="FF3A3A40"/>
        </patternFill>
      </fill>
    </dxf>
    <dxf>
      <font>
        <b/>
        <color rgb="FF2C2C2A"/>
      </font>
      <fill>
        <patternFill>
          <bgColor rgb="FFF7D046"/>
        </patternFill>
      </fill>
    </dxf>
    <dxf>
      <font>
        <b/>
        <color rgb="FFFFFFFF"/>
      </font>
      <fill>
        <patternFill>
          <bgColor rgb="FFD9443A"/>
        </patternFill>
      </fill>
    </dxf>
    <dxf>
      <font>
        <b/>
        <color rgb="FF2C2C2A"/>
      </font>
      <fill>
        <patternFill>
          <bgColor rgb="FFFFFFFF"/>
        </patternFill>
      </fill>
    </dxf>
    <dxf>
      <font>
        <b/>
        <color rgb="FF2C2C2A"/>
      </font>
      <fill>
        <patternFill>
          <bgColor rgb="FF8EC9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62828"/>
      <rgbColor rgb="FF5DBB4F"/>
      <rgbColor rgb="FF0000FF"/>
      <rgbColor rgb="FFF9DE2B"/>
      <rgbColor rgb="FFF37A20"/>
      <rgbColor rgb="FF00FFFF"/>
      <rgbColor rgb="FFD7263D"/>
      <rgbColor rgb="FF1E7B34"/>
      <rgbColor rgb="FF1F2430"/>
      <rgbColor rgb="FFB0814F"/>
      <rgbColor rgb="FF7B4FA0"/>
      <rgbColor rgb="FF1E6B35"/>
      <rgbColor rgb="FFC9A66B"/>
      <rgbColor rgb="FF8A8D91"/>
      <rgbColor rgb="FF8E5BC2"/>
      <rgbColor rgb="FF7B3FA0"/>
      <rgbColor rgb="FFF2BE22"/>
      <rgbColor rgb="FFCCFFFF"/>
      <rgbColor rgb="FF5A3A22"/>
      <rgbColor rgb="FFF28DB2"/>
      <rgbColor rgb="FF1F5F9E"/>
      <rgbColor rgb="FF86D6EA"/>
      <rgbColor rgb="FF174A78"/>
      <rgbColor rgb="FFFF00FF"/>
      <rgbColor rgb="FFF7D046"/>
      <rgbColor rgb="FF00FFFF"/>
      <rgbColor rgb="FFB08850"/>
      <rgbColor rgb="FFD9443A"/>
      <rgbColor rgb="FF2F7D3A"/>
      <rgbColor rgb="FF0000FF"/>
      <rgbColor rgb="FF2E9BC9"/>
      <rgbColor rgb="FFCCFFFF"/>
      <rgbColor rgb="FF8CC56A"/>
      <rgbColor rgb="FFFFF1A8"/>
      <rgbColor rgb="FF8EC9F0"/>
      <rgbColor rgb="FFF48FB1"/>
      <rgbColor rgb="FFF5B48C"/>
      <rgbColor rgb="FFEBD6A4"/>
      <rgbColor rgb="FF5677BD"/>
      <rgbColor rgb="FF5BC0EB"/>
      <rgbColor rgb="FF8CC63F"/>
      <rgbColor rgb="FFFCD116"/>
      <rgbColor rgb="FFF28C28"/>
      <rgbColor rgb="FFF77F00"/>
      <rgbColor rgb="FF6B7080"/>
      <rgbColor rgb="FF9A9EA8"/>
      <rgbColor rgb="FF24386E"/>
      <rgbColor rgb="FF1FA6A0"/>
      <rgbColor rgb="FF1C1C1C"/>
      <rgbColor rgb="FF3A3A40"/>
      <rgbColor rgb="FF7A4A26"/>
      <rgbColor rgb="FFC2185B"/>
      <rgbColor rgb="FF1D3F8F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29509</xdr:colOff>
      <xdr:row>23</xdr:row>
      <xdr:rowOff>36576</xdr:rowOff>
    </xdr:from>
    <xdr:to>
      <xdr:col>14</xdr:col>
      <xdr:colOff>209550</xdr:colOff>
      <xdr:row>36</xdr:row>
      <xdr:rowOff>30191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2989D-242C-27D4-2A8C-07B0D6991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7009" y="5586476"/>
          <a:ext cx="2262841" cy="2387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ixel_Mission_Sample_Images.xlsx" TargetMode="External"/><Relationship Id="rId2" Type="http://schemas.openxmlformats.org/officeDocument/2006/relationships/hyperlink" Target="Pixel_Mission_Sample_Images.xlsx" TargetMode="External"/><Relationship Id="rId1" Type="http://schemas.openxmlformats.org/officeDocument/2006/relationships/hyperlink" Target="Pixel_Mission_Sample_Images.xls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Pixel_Mission_Sample_Images.xlsx" TargetMode="External"/><Relationship Id="rId4" Type="http://schemas.openxmlformats.org/officeDocument/2006/relationships/hyperlink" Target="Pixel_Mission_Sample_Image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/>
  </sheetViews>
  <sheetFormatPr defaultColWidth="8.6328125" defaultRowHeight="14.5" x14ac:dyDescent="0.35"/>
  <cols>
    <col min="1" max="1" width="5" customWidth="1"/>
    <col min="2" max="2" width="16" customWidth="1"/>
    <col min="3" max="3" width="24" customWidth="1"/>
    <col min="4" max="4" width="9" customWidth="1"/>
    <col min="5" max="5" width="38" customWidth="1"/>
    <col min="6" max="6" width="20" customWidth="1"/>
  </cols>
  <sheetData>
    <row r="1" spans="1:6" ht="18" x14ac:dyDescent="0.4">
      <c r="A1" s="1" t="s">
        <v>0</v>
      </c>
    </row>
    <row r="2" spans="1:6" x14ac:dyDescent="0.35">
      <c r="A2" s="2" t="s">
        <v>1</v>
      </c>
    </row>
    <row r="3" spans="1:6" x14ac:dyDescent="0.35">
      <c r="A3" s="2" t="s">
        <v>2</v>
      </c>
    </row>
    <row r="5" spans="1:6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35">
      <c r="A6" s="4">
        <v>1</v>
      </c>
      <c r="B6" s="4" t="s">
        <v>9</v>
      </c>
      <c r="C6" s="4" t="s">
        <v>10</v>
      </c>
      <c r="D6" s="4">
        <v>7</v>
      </c>
      <c r="E6" s="4" t="s">
        <v>11</v>
      </c>
      <c r="F6" s="5" t="s">
        <v>12</v>
      </c>
    </row>
    <row r="7" spans="1:6" x14ac:dyDescent="0.35">
      <c r="A7" s="4">
        <v>2</v>
      </c>
      <c r="B7" s="4" t="s">
        <v>13</v>
      </c>
      <c r="C7" s="4" t="s">
        <v>14</v>
      </c>
      <c r="D7" s="4">
        <v>15</v>
      </c>
      <c r="E7" s="4" t="s">
        <v>15</v>
      </c>
      <c r="F7" s="5" t="s">
        <v>16</v>
      </c>
    </row>
    <row r="8" spans="1:6" x14ac:dyDescent="0.35">
      <c r="A8" s="4">
        <v>3</v>
      </c>
      <c r="B8" s="4" t="s">
        <v>17</v>
      </c>
      <c r="C8" s="4" t="s">
        <v>18</v>
      </c>
      <c r="D8" s="4">
        <v>15</v>
      </c>
      <c r="E8" s="4" t="s">
        <v>15</v>
      </c>
      <c r="F8" s="5" t="s">
        <v>19</v>
      </c>
    </row>
    <row r="9" spans="1:6" x14ac:dyDescent="0.35">
      <c r="A9" s="4">
        <v>4</v>
      </c>
      <c r="B9" s="4" t="s">
        <v>20</v>
      </c>
      <c r="C9" s="4" t="s">
        <v>21</v>
      </c>
      <c r="D9" s="4">
        <v>12</v>
      </c>
      <c r="E9" s="4" t="s">
        <v>22</v>
      </c>
      <c r="F9" s="5" t="s">
        <v>23</v>
      </c>
    </row>
    <row r="10" spans="1:6" x14ac:dyDescent="0.35">
      <c r="A10" s="4">
        <v>5</v>
      </c>
      <c r="B10" s="4" t="s">
        <v>24</v>
      </c>
      <c r="C10" s="4" t="s">
        <v>25</v>
      </c>
      <c r="D10" s="4">
        <v>12</v>
      </c>
      <c r="E10" s="4" t="s">
        <v>26</v>
      </c>
      <c r="F10" s="5" t="s">
        <v>27</v>
      </c>
    </row>
  </sheetData>
  <hyperlinks>
    <hyperlink ref="F6" r:id="rId1" location="'1%20Guiding%20Light'!A1" xr:uid="{00000000-0004-0000-0000-000000000000}"/>
    <hyperlink ref="F7" r:id="rId2" location="'2%20Sunset%20Flight'!A1" xr:uid="{00000000-0004-0000-0000-000001000000}"/>
    <hyperlink ref="F8" r:id="rId3" location="'3%20Reef%20Party'!A1" xr:uid="{00000000-0004-0000-0000-000002000000}"/>
    <hyperlink ref="F9" r:id="rId4" location="'4%20Debug%20Mode'!A1" xr:uid="{00000000-0004-0000-0000-000003000000}"/>
    <hyperlink ref="F10" r:id="rId5" location="'5%20Cloud%20Upload'!A1" xr:uid="{00000000-0004-0000-0000-000004000000}"/>
  </hyperlinks>
  <pageMargins left="0.75" right="0.75" top="1" bottom="1" header="0.511811023622047" footer="0.511811023622047"/>
  <pageSetup paperSize="9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2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328125" defaultRowHeight="14.5" x14ac:dyDescent="0.35"/>
  <cols>
    <col min="1" max="1" width="4" customWidth="1"/>
    <col min="2" max="21" width="3.6328125" customWidth="1"/>
    <col min="23" max="23" width="6" customWidth="1"/>
    <col min="24" max="24" width="16" customWidth="1"/>
    <col min="25" max="25" width="8" customWidth="1"/>
    <col min="26" max="26" width="10" customWidth="1"/>
    <col min="27" max="27" width="8" customWidth="1"/>
  </cols>
  <sheetData>
    <row r="1" spans="1:27" ht="18" x14ac:dyDescent="0.4">
      <c r="A1" s="1" t="s">
        <v>28</v>
      </c>
      <c r="W1" s="2" t="s">
        <v>29</v>
      </c>
    </row>
    <row r="2" spans="1:27" x14ac:dyDescent="0.35"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</row>
    <row r="3" spans="1:27" ht="19.5" customHeight="1" x14ac:dyDescent="0.35">
      <c r="A3" s="7">
        <v>1</v>
      </c>
      <c r="B3" s="8" t="s">
        <v>48</v>
      </c>
      <c r="C3" s="8" t="s">
        <v>48</v>
      </c>
      <c r="D3" s="8" t="s">
        <v>48</v>
      </c>
      <c r="E3" s="8" t="s">
        <v>48</v>
      </c>
      <c r="F3" s="8" t="s">
        <v>48</v>
      </c>
      <c r="G3" s="8" t="s">
        <v>48</v>
      </c>
      <c r="H3" s="8" t="s">
        <v>48</v>
      </c>
      <c r="I3" s="8" t="s">
        <v>48</v>
      </c>
      <c r="J3" s="8" t="s">
        <v>48</v>
      </c>
      <c r="K3" s="8" t="s">
        <v>48</v>
      </c>
      <c r="L3" s="8" t="s">
        <v>48</v>
      </c>
      <c r="M3" s="8" t="s">
        <v>48</v>
      </c>
      <c r="N3" s="8" t="s">
        <v>48</v>
      </c>
      <c r="O3" s="8" t="s">
        <v>48</v>
      </c>
      <c r="P3" s="8" t="s">
        <v>48</v>
      </c>
      <c r="Q3" s="8" t="s">
        <v>48</v>
      </c>
      <c r="R3" s="8" t="s">
        <v>48</v>
      </c>
      <c r="S3" s="8" t="s">
        <v>48</v>
      </c>
      <c r="T3" s="8" t="s">
        <v>48</v>
      </c>
      <c r="U3" s="8" t="s">
        <v>48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54</v>
      </c>
    </row>
    <row r="4" spans="1:27" ht="19.5" customHeight="1" x14ac:dyDescent="0.35">
      <c r="A4" s="7">
        <v>2</v>
      </c>
      <c r="B4" s="8" t="s">
        <v>48</v>
      </c>
      <c r="C4" s="8" t="s">
        <v>48</v>
      </c>
      <c r="D4" s="8" t="s">
        <v>48</v>
      </c>
      <c r="E4" s="8" t="s">
        <v>48</v>
      </c>
      <c r="F4" s="8" t="s">
        <v>48</v>
      </c>
      <c r="G4" s="8" t="s">
        <v>48</v>
      </c>
      <c r="H4" s="8" t="s">
        <v>48</v>
      </c>
      <c r="I4" s="8" t="s">
        <v>48</v>
      </c>
      <c r="J4" s="8" t="s">
        <v>48</v>
      </c>
      <c r="K4" s="10" t="s">
        <v>33</v>
      </c>
      <c r="L4" s="10" t="s">
        <v>33</v>
      </c>
      <c r="M4" s="8" t="s">
        <v>48</v>
      </c>
      <c r="N4" s="8" t="s">
        <v>48</v>
      </c>
      <c r="O4" s="8" t="s">
        <v>48</v>
      </c>
      <c r="P4" s="8" t="s">
        <v>48</v>
      </c>
      <c r="Q4" s="11" t="s">
        <v>55</v>
      </c>
      <c r="R4" s="11" t="s">
        <v>55</v>
      </c>
      <c r="S4" s="11" t="s">
        <v>55</v>
      </c>
      <c r="T4" s="8" t="s">
        <v>48</v>
      </c>
      <c r="U4" s="8" t="s">
        <v>48</v>
      </c>
      <c r="W4" s="12" t="s">
        <v>48</v>
      </c>
      <c r="X4" s="4" t="s">
        <v>56</v>
      </c>
      <c r="Y4" s="13"/>
      <c r="Z4" s="14" t="s">
        <v>57</v>
      </c>
      <c r="AA4" s="15">
        <f t="shared" ref="AA4:AA10" si="0">COUNTIF($B$3:$U$22,W4)</f>
        <v>182</v>
      </c>
    </row>
    <row r="5" spans="1:27" ht="19.5" customHeight="1" x14ac:dyDescent="0.35">
      <c r="A5" s="7">
        <v>3</v>
      </c>
      <c r="B5" s="8" t="s">
        <v>48</v>
      </c>
      <c r="C5" s="8" t="s">
        <v>48</v>
      </c>
      <c r="D5" s="8" t="s">
        <v>48</v>
      </c>
      <c r="E5" s="8" t="s">
        <v>48</v>
      </c>
      <c r="F5" s="8" t="s">
        <v>48</v>
      </c>
      <c r="G5" s="8" t="s">
        <v>48</v>
      </c>
      <c r="H5" s="8" t="s">
        <v>48</v>
      </c>
      <c r="I5" s="8" t="s">
        <v>48</v>
      </c>
      <c r="J5" s="10" t="s">
        <v>33</v>
      </c>
      <c r="K5" s="10" t="s">
        <v>33</v>
      </c>
      <c r="L5" s="10" t="s">
        <v>33</v>
      </c>
      <c r="M5" s="10" t="s">
        <v>33</v>
      </c>
      <c r="N5" s="8" t="s">
        <v>48</v>
      </c>
      <c r="O5" s="8" t="s">
        <v>48</v>
      </c>
      <c r="P5" s="11" t="s">
        <v>55</v>
      </c>
      <c r="Q5" s="11" t="s">
        <v>55</v>
      </c>
      <c r="R5" s="11" t="s">
        <v>55</v>
      </c>
      <c r="S5" s="11" t="s">
        <v>55</v>
      </c>
      <c r="T5" s="11" t="s">
        <v>55</v>
      </c>
      <c r="U5" s="8" t="s">
        <v>48</v>
      </c>
      <c r="W5" s="12" t="s">
        <v>55</v>
      </c>
      <c r="X5" s="4" t="s">
        <v>58</v>
      </c>
      <c r="Y5" s="16"/>
      <c r="Z5" s="14" t="s">
        <v>59</v>
      </c>
      <c r="AA5" s="15">
        <f t="shared" si="0"/>
        <v>34</v>
      </c>
    </row>
    <row r="6" spans="1:27" ht="19.5" customHeight="1" x14ac:dyDescent="0.35">
      <c r="A6" s="7">
        <v>4</v>
      </c>
      <c r="B6" s="8" t="s">
        <v>48</v>
      </c>
      <c r="C6" s="8" t="s">
        <v>48</v>
      </c>
      <c r="D6" s="8" t="s">
        <v>48</v>
      </c>
      <c r="E6" s="8" t="s">
        <v>48</v>
      </c>
      <c r="F6" s="8" t="s">
        <v>48</v>
      </c>
      <c r="G6" s="17" t="s">
        <v>60</v>
      </c>
      <c r="H6" s="17" t="s">
        <v>60</v>
      </c>
      <c r="I6" s="17" t="s">
        <v>60</v>
      </c>
      <c r="J6" s="10" t="s">
        <v>33</v>
      </c>
      <c r="K6" s="17" t="s">
        <v>60</v>
      </c>
      <c r="L6" s="17" t="s">
        <v>60</v>
      </c>
      <c r="M6" s="10" t="s">
        <v>33</v>
      </c>
      <c r="N6" s="17" t="s">
        <v>60</v>
      </c>
      <c r="O6" s="17" t="s">
        <v>60</v>
      </c>
      <c r="P6" s="17" t="s">
        <v>60</v>
      </c>
      <c r="Q6" s="8" t="s">
        <v>48</v>
      </c>
      <c r="R6" s="8" t="s">
        <v>48</v>
      </c>
      <c r="S6" s="8" t="s">
        <v>48</v>
      </c>
      <c r="T6" s="8" t="s">
        <v>48</v>
      </c>
      <c r="U6" s="8" t="s">
        <v>48</v>
      </c>
      <c r="W6" s="12" t="s">
        <v>47</v>
      </c>
      <c r="X6" s="4" t="s">
        <v>61</v>
      </c>
      <c r="Y6" s="18"/>
      <c r="Z6" s="14" t="s">
        <v>62</v>
      </c>
      <c r="AA6" s="15">
        <f t="shared" si="0"/>
        <v>28</v>
      </c>
    </row>
    <row r="7" spans="1:27" ht="19.5" customHeight="1" x14ac:dyDescent="0.35">
      <c r="A7" s="7">
        <v>5</v>
      </c>
      <c r="B7" s="8" t="s">
        <v>48</v>
      </c>
      <c r="C7" s="8" t="s">
        <v>48</v>
      </c>
      <c r="D7" s="8" t="s">
        <v>48</v>
      </c>
      <c r="E7" s="17" t="s">
        <v>60</v>
      </c>
      <c r="F7" s="17" t="s">
        <v>60</v>
      </c>
      <c r="G7" s="17" t="s">
        <v>60</v>
      </c>
      <c r="H7" s="17" t="s">
        <v>60</v>
      </c>
      <c r="I7" s="17" t="s">
        <v>60</v>
      </c>
      <c r="J7" s="10" t="s">
        <v>33</v>
      </c>
      <c r="K7" s="17" t="s">
        <v>60</v>
      </c>
      <c r="L7" s="17" t="s">
        <v>60</v>
      </c>
      <c r="M7" s="10" t="s">
        <v>33</v>
      </c>
      <c r="N7" s="17" t="s">
        <v>60</v>
      </c>
      <c r="O7" s="17" t="s">
        <v>60</v>
      </c>
      <c r="P7" s="17" t="s">
        <v>60</v>
      </c>
      <c r="Q7" s="17" t="s">
        <v>60</v>
      </c>
      <c r="R7" s="17" t="s">
        <v>60</v>
      </c>
      <c r="S7" s="8" t="s">
        <v>48</v>
      </c>
      <c r="T7" s="8" t="s">
        <v>48</v>
      </c>
      <c r="U7" s="8" t="s">
        <v>48</v>
      </c>
      <c r="W7" s="12" t="s">
        <v>60</v>
      </c>
      <c r="X7" s="4" t="s">
        <v>63</v>
      </c>
      <c r="Y7" s="19"/>
      <c r="Z7" s="14" t="s">
        <v>64</v>
      </c>
      <c r="AA7" s="15">
        <f t="shared" si="0"/>
        <v>20</v>
      </c>
    </row>
    <row r="8" spans="1:27" ht="19.5" customHeight="1" x14ac:dyDescent="0.35">
      <c r="A8" s="7">
        <v>6</v>
      </c>
      <c r="B8" s="8" t="s">
        <v>48</v>
      </c>
      <c r="C8" s="8" t="s">
        <v>48</v>
      </c>
      <c r="D8" s="8" t="s">
        <v>48</v>
      </c>
      <c r="E8" s="8" t="s">
        <v>48</v>
      </c>
      <c r="F8" s="8" t="s">
        <v>48</v>
      </c>
      <c r="G8" s="8" t="s">
        <v>48</v>
      </c>
      <c r="H8" s="8" t="s">
        <v>48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8" t="s">
        <v>48</v>
      </c>
      <c r="P8" s="8" t="s">
        <v>48</v>
      </c>
      <c r="Q8" s="8" t="s">
        <v>48</v>
      </c>
      <c r="R8" s="8" t="s">
        <v>48</v>
      </c>
      <c r="S8" s="8" t="s">
        <v>48</v>
      </c>
      <c r="T8" s="8" t="s">
        <v>48</v>
      </c>
      <c r="U8" s="8" t="s">
        <v>48</v>
      </c>
      <c r="W8" s="12" t="s">
        <v>33</v>
      </c>
      <c r="X8" s="4" t="s">
        <v>65</v>
      </c>
      <c r="Y8" s="20"/>
      <c r="Z8" s="14" t="s">
        <v>66</v>
      </c>
      <c r="AA8" s="15">
        <f t="shared" si="0"/>
        <v>22</v>
      </c>
    </row>
    <row r="9" spans="1:27" ht="19.5" customHeight="1" x14ac:dyDescent="0.35">
      <c r="A9" s="7">
        <v>7</v>
      </c>
      <c r="B9" s="8" t="s">
        <v>48</v>
      </c>
      <c r="C9" s="8" t="s">
        <v>48</v>
      </c>
      <c r="D9" s="8" t="s">
        <v>48</v>
      </c>
      <c r="E9" s="8" t="s">
        <v>48</v>
      </c>
      <c r="F9" s="8" t="s">
        <v>48</v>
      </c>
      <c r="G9" s="8" t="s">
        <v>48</v>
      </c>
      <c r="H9" s="8" t="s">
        <v>48</v>
      </c>
      <c r="I9" s="8" t="s">
        <v>48</v>
      </c>
      <c r="J9" s="21" t="s">
        <v>47</v>
      </c>
      <c r="K9" s="21" t="s">
        <v>47</v>
      </c>
      <c r="L9" s="21" t="s">
        <v>47</v>
      </c>
      <c r="M9" s="21" t="s">
        <v>47</v>
      </c>
      <c r="N9" s="8" t="s">
        <v>48</v>
      </c>
      <c r="O9" s="8" t="s">
        <v>48</v>
      </c>
      <c r="P9" s="8" t="s">
        <v>48</v>
      </c>
      <c r="Q9" s="8" t="s">
        <v>48</v>
      </c>
      <c r="R9" s="8" t="s">
        <v>48</v>
      </c>
      <c r="S9" s="8" t="s">
        <v>48</v>
      </c>
      <c r="T9" s="8" t="s">
        <v>48</v>
      </c>
      <c r="U9" s="8" t="s">
        <v>48</v>
      </c>
      <c r="W9" s="12" t="s">
        <v>31</v>
      </c>
      <c r="X9" s="4" t="s">
        <v>67</v>
      </c>
      <c r="Y9" s="22"/>
      <c r="Z9" s="14" t="s">
        <v>68</v>
      </c>
      <c r="AA9" s="15">
        <f t="shared" si="0"/>
        <v>90</v>
      </c>
    </row>
    <row r="10" spans="1:27" ht="19.5" customHeight="1" x14ac:dyDescent="0.35">
      <c r="A10" s="7">
        <v>8</v>
      </c>
      <c r="B10" s="8" t="s">
        <v>48</v>
      </c>
      <c r="C10" s="8" t="s">
        <v>48</v>
      </c>
      <c r="D10" s="8" t="s">
        <v>48</v>
      </c>
      <c r="E10" s="8" t="s">
        <v>48</v>
      </c>
      <c r="F10" s="8" t="s">
        <v>48</v>
      </c>
      <c r="G10" s="8" t="s">
        <v>48</v>
      </c>
      <c r="H10" s="8" t="s">
        <v>48</v>
      </c>
      <c r="I10" s="8" t="s">
        <v>48</v>
      </c>
      <c r="J10" s="21" t="s">
        <v>47</v>
      </c>
      <c r="K10" s="21" t="s">
        <v>47</v>
      </c>
      <c r="L10" s="21" t="s">
        <v>47</v>
      </c>
      <c r="M10" s="21" t="s">
        <v>47</v>
      </c>
      <c r="N10" s="8" t="s">
        <v>48</v>
      </c>
      <c r="O10" s="8" t="s">
        <v>48</v>
      </c>
      <c r="P10" s="8" t="s">
        <v>48</v>
      </c>
      <c r="Q10" s="8" t="s">
        <v>48</v>
      </c>
      <c r="R10" s="8" t="s">
        <v>48</v>
      </c>
      <c r="S10" s="8" t="s">
        <v>48</v>
      </c>
      <c r="T10" s="8" t="s">
        <v>48</v>
      </c>
      <c r="U10" s="8" t="s">
        <v>48</v>
      </c>
      <c r="W10" s="12" t="s">
        <v>43</v>
      </c>
      <c r="X10" s="4" t="s">
        <v>69</v>
      </c>
      <c r="Y10" s="23"/>
      <c r="Z10" s="14" t="s">
        <v>70</v>
      </c>
      <c r="AA10" s="15">
        <f t="shared" si="0"/>
        <v>24</v>
      </c>
    </row>
    <row r="11" spans="1:27" ht="19.5" customHeight="1" x14ac:dyDescent="0.35">
      <c r="A11" s="7">
        <v>9</v>
      </c>
      <c r="B11" s="8" t="s">
        <v>48</v>
      </c>
      <c r="C11" s="8" t="s">
        <v>48</v>
      </c>
      <c r="D11" s="8" t="s">
        <v>48</v>
      </c>
      <c r="E11" s="8" t="s">
        <v>48</v>
      </c>
      <c r="F11" s="8" t="s">
        <v>48</v>
      </c>
      <c r="G11" s="8" t="s">
        <v>48</v>
      </c>
      <c r="H11" s="8" t="s">
        <v>48</v>
      </c>
      <c r="I11" s="8" t="s">
        <v>48</v>
      </c>
      <c r="J11" s="11" t="s">
        <v>55</v>
      </c>
      <c r="K11" s="10" t="s">
        <v>33</v>
      </c>
      <c r="L11" s="10" t="s">
        <v>33</v>
      </c>
      <c r="M11" s="11" t="s">
        <v>55</v>
      </c>
      <c r="N11" s="8" t="s">
        <v>48</v>
      </c>
      <c r="O11" s="8" t="s">
        <v>48</v>
      </c>
      <c r="P11" s="8" t="s">
        <v>48</v>
      </c>
      <c r="Q11" s="8" t="s">
        <v>48</v>
      </c>
      <c r="R11" s="8" t="s">
        <v>48</v>
      </c>
      <c r="S11" s="8" t="s">
        <v>48</v>
      </c>
      <c r="T11" s="8" t="s">
        <v>48</v>
      </c>
      <c r="U11" s="8" t="s">
        <v>48</v>
      </c>
      <c r="X11" s="24" t="s">
        <v>71</v>
      </c>
      <c r="AA11" s="12">
        <f>SUM(AA4:AA10)</f>
        <v>400</v>
      </c>
    </row>
    <row r="12" spans="1:27" ht="19.5" customHeight="1" x14ac:dyDescent="0.35">
      <c r="A12" s="7">
        <v>10</v>
      </c>
      <c r="B12" s="8" t="s">
        <v>48</v>
      </c>
      <c r="C12" s="8" t="s">
        <v>48</v>
      </c>
      <c r="D12" s="8" t="s">
        <v>48</v>
      </c>
      <c r="E12" s="8" t="s">
        <v>48</v>
      </c>
      <c r="F12" s="8" t="s">
        <v>48</v>
      </c>
      <c r="G12" s="8" t="s">
        <v>48</v>
      </c>
      <c r="H12" s="8" t="s">
        <v>48</v>
      </c>
      <c r="I12" s="8" t="s">
        <v>48</v>
      </c>
      <c r="J12" s="11" t="s">
        <v>55</v>
      </c>
      <c r="K12" s="11" t="s">
        <v>55</v>
      </c>
      <c r="L12" s="11" t="s">
        <v>55</v>
      </c>
      <c r="M12" s="11" t="s">
        <v>55</v>
      </c>
      <c r="N12" s="8" t="s">
        <v>48</v>
      </c>
      <c r="O12" s="8" t="s">
        <v>48</v>
      </c>
      <c r="P12" s="8" t="s">
        <v>48</v>
      </c>
      <c r="Q12" s="8" t="s">
        <v>48</v>
      </c>
      <c r="R12" s="8" t="s">
        <v>48</v>
      </c>
      <c r="S12" s="8" t="s">
        <v>48</v>
      </c>
      <c r="T12" s="8" t="s">
        <v>48</v>
      </c>
      <c r="U12" s="8" t="s">
        <v>48</v>
      </c>
      <c r="X12" s="24" t="s">
        <v>72</v>
      </c>
      <c r="AA12" s="12">
        <f>COUNTBLANK($B$3:$U$22)</f>
        <v>0</v>
      </c>
    </row>
    <row r="13" spans="1:27" ht="19.5" customHeight="1" x14ac:dyDescent="0.35">
      <c r="A13" s="7">
        <v>11</v>
      </c>
      <c r="B13" s="8" t="s">
        <v>48</v>
      </c>
      <c r="C13" s="8" t="s">
        <v>48</v>
      </c>
      <c r="D13" s="8" t="s">
        <v>48</v>
      </c>
      <c r="E13" s="8" t="s">
        <v>48</v>
      </c>
      <c r="F13" s="8" t="s">
        <v>48</v>
      </c>
      <c r="G13" s="8" t="s">
        <v>48</v>
      </c>
      <c r="H13" s="8" t="s">
        <v>48</v>
      </c>
      <c r="I13" s="21" t="s">
        <v>47</v>
      </c>
      <c r="J13" s="21" t="s">
        <v>47</v>
      </c>
      <c r="K13" s="21" t="s">
        <v>47</v>
      </c>
      <c r="L13" s="21" t="s">
        <v>47</v>
      </c>
      <c r="M13" s="21" t="s">
        <v>47</v>
      </c>
      <c r="N13" s="21" t="s">
        <v>47</v>
      </c>
      <c r="O13" s="8" t="s">
        <v>48</v>
      </c>
      <c r="P13" s="8" t="s">
        <v>48</v>
      </c>
      <c r="Q13" s="8" t="s">
        <v>48</v>
      </c>
      <c r="R13" s="8" t="s">
        <v>48</v>
      </c>
      <c r="S13" s="8" t="s">
        <v>48</v>
      </c>
      <c r="T13" s="8" t="s">
        <v>48</v>
      </c>
      <c r="U13" s="8" t="s">
        <v>48</v>
      </c>
    </row>
    <row r="14" spans="1:27" ht="19.5" customHeight="1" x14ac:dyDescent="0.35">
      <c r="A14" s="7">
        <v>12</v>
      </c>
      <c r="B14" s="8" t="s">
        <v>48</v>
      </c>
      <c r="C14" s="8" t="s">
        <v>48</v>
      </c>
      <c r="D14" s="8" t="s">
        <v>48</v>
      </c>
      <c r="E14" s="8" t="s">
        <v>48</v>
      </c>
      <c r="F14" s="8" t="s">
        <v>48</v>
      </c>
      <c r="G14" s="8" t="s">
        <v>48</v>
      </c>
      <c r="H14" s="8" t="s">
        <v>48</v>
      </c>
      <c r="I14" s="21" t="s">
        <v>47</v>
      </c>
      <c r="J14" s="21" t="s">
        <v>47</v>
      </c>
      <c r="K14" s="21" t="s">
        <v>47</v>
      </c>
      <c r="L14" s="21" t="s">
        <v>47</v>
      </c>
      <c r="M14" s="21" t="s">
        <v>47</v>
      </c>
      <c r="N14" s="21" t="s">
        <v>47</v>
      </c>
      <c r="O14" s="8" t="s">
        <v>48</v>
      </c>
      <c r="P14" s="8" t="s">
        <v>48</v>
      </c>
      <c r="Q14" s="8" t="s">
        <v>48</v>
      </c>
      <c r="R14" s="8" t="s">
        <v>48</v>
      </c>
      <c r="S14" s="8" t="s">
        <v>48</v>
      </c>
      <c r="T14" s="8" t="s">
        <v>48</v>
      </c>
      <c r="U14" s="8" t="s">
        <v>48</v>
      </c>
      <c r="W14" s="25" t="s">
        <v>73</v>
      </c>
    </row>
    <row r="15" spans="1:27" ht="19.5" customHeight="1" x14ac:dyDescent="0.35">
      <c r="A15" s="7">
        <v>13</v>
      </c>
      <c r="B15" s="8" t="s">
        <v>48</v>
      </c>
      <c r="C15" s="8" t="s">
        <v>48</v>
      </c>
      <c r="D15" s="8" t="s">
        <v>48</v>
      </c>
      <c r="E15" s="8" t="s">
        <v>48</v>
      </c>
      <c r="F15" s="8" t="s">
        <v>48</v>
      </c>
      <c r="G15" s="8" t="s">
        <v>48</v>
      </c>
      <c r="H15" s="8" t="s">
        <v>48</v>
      </c>
      <c r="I15" s="11" t="s">
        <v>55</v>
      </c>
      <c r="J15" s="11" t="s">
        <v>55</v>
      </c>
      <c r="K15" s="11" t="s">
        <v>55</v>
      </c>
      <c r="L15" s="11" t="s">
        <v>55</v>
      </c>
      <c r="M15" s="11" t="s">
        <v>55</v>
      </c>
      <c r="N15" s="11" t="s">
        <v>55</v>
      </c>
      <c r="O15" s="8" t="s">
        <v>48</v>
      </c>
      <c r="P15" s="8" t="s">
        <v>48</v>
      </c>
      <c r="Q15" s="8" t="s">
        <v>48</v>
      </c>
      <c r="R15" s="8" t="s">
        <v>48</v>
      </c>
      <c r="S15" s="8" t="s">
        <v>48</v>
      </c>
      <c r="T15" s="8" t="s">
        <v>48</v>
      </c>
      <c r="U15" s="8" t="s">
        <v>48</v>
      </c>
    </row>
    <row r="16" spans="1:27" ht="19.5" customHeight="1" x14ac:dyDescent="0.35">
      <c r="A16" s="7">
        <v>14</v>
      </c>
      <c r="B16" s="26" t="s">
        <v>31</v>
      </c>
      <c r="C16" s="26" t="s">
        <v>31</v>
      </c>
      <c r="D16" s="26" t="s">
        <v>31</v>
      </c>
      <c r="E16" s="26" t="s">
        <v>31</v>
      </c>
      <c r="F16" s="26" t="s">
        <v>31</v>
      </c>
      <c r="G16" s="26" t="s">
        <v>31</v>
      </c>
      <c r="H16" s="26" t="s">
        <v>31</v>
      </c>
      <c r="I16" s="11" t="s">
        <v>55</v>
      </c>
      <c r="J16" s="11" t="s">
        <v>55</v>
      </c>
      <c r="K16" s="11" t="s">
        <v>55</v>
      </c>
      <c r="L16" s="11" t="s">
        <v>55</v>
      </c>
      <c r="M16" s="11" t="s">
        <v>55</v>
      </c>
      <c r="N16" s="11" t="s">
        <v>55</v>
      </c>
      <c r="O16" s="26" t="s">
        <v>31</v>
      </c>
      <c r="P16" s="26" t="s">
        <v>31</v>
      </c>
      <c r="Q16" s="26" t="s">
        <v>31</v>
      </c>
      <c r="R16" s="26" t="s">
        <v>31</v>
      </c>
      <c r="S16" s="26" t="s">
        <v>31</v>
      </c>
      <c r="T16" s="26" t="s">
        <v>31</v>
      </c>
      <c r="U16" s="26" t="s">
        <v>31</v>
      </c>
    </row>
    <row r="17" spans="1:21" ht="19.5" customHeight="1" x14ac:dyDescent="0.35">
      <c r="A17" s="7">
        <v>15</v>
      </c>
      <c r="B17" s="26" t="s">
        <v>31</v>
      </c>
      <c r="C17" s="26" t="s">
        <v>31</v>
      </c>
      <c r="D17" s="26" t="s">
        <v>31</v>
      </c>
      <c r="E17" s="26" t="s">
        <v>31</v>
      </c>
      <c r="F17" s="26" t="s">
        <v>31</v>
      </c>
      <c r="G17" s="26" t="s">
        <v>31</v>
      </c>
      <c r="H17" s="26" t="s">
        <v>31</v>
      </c>
      <c r="I17" s="21" t="s">
        <v>47</v>
      </c>
      <c r="J17" s="21" t="s">
        <v>47</v>
      </c>
      <c r="K17" s="10" t="s">
        <v>33</v>
      </c>
      <c r="L17" s="10" t="s">
        <v>33</v>
      </c>
      <c r="M17" s="21" t="s">
        <v>47</v>
      </c>
      <c r="N17" s="21" t="s">
        <v>47</v>
      </c>
      <c r="O17" s="26" t="s">
        <v>31</v>
      </c>
      <c r="P17" s="26" t="s">
        <v>31</v>
      </c>
      <c r="Q17" s="26" t="s">
        <v>31</v>
      </c>
      <c r="R17" s="26" t="s">
        <v>31</v>
      </c>
      <c r="S17" s="26" t="s">
        <v>31</v>
      </c>
      <c r="T17" s="26" t="s">
        <v>31</v>
      </c>
      <c r="U17" s="26" t="s">
        <v>31</v>
      </c>
    </row>
    <row r="18" spans="1:21" ht="19.5" customHeight="1" x14ac:dyDescent="0.35">
      <c r="A18" s="7">
        <v>16</v>
      </c>
      <c r="B18" s="26" t="s">
        <v>31</v>
      </c>
      <c r="C18" s="26" t="s">
        <v>31</v>
      </c>
      <c r="D18" s="26" t="s">
        <v>31</v>
      </c>
      <c r="E18" s="26" t="s">
        <v>31</v>
      </c>
      <c r="F18" s="26" t="s">
        <v>31</v>
      </c>
      <c r="G18" s="26" t="s">
        <v>31</v>
      </c>
      <c r="H18" s="26" t="s">
        <v>31</v>
      </c>
      <c r="I18" s="21" t="s">
        <v>47</v>
      </c>
      <c r="J18" s="21" t="s">
        <v>47</v>
      </c>
      <c r="K18" s="10" t="s">
        <v>33</v>
      </c>
      <c r="L18" s="10" t="s">
        <v>33</v>
      </c>
      <c r="M18" s="21" t="s">
        <v>47</v>
      </c>
      <c r="N18" s="21" t="s">
        <v>47</v>
      </c>
      <c r="O18" s="26" t="s">
        <v>31</v>
      </c>
      <c r="P18" s="26" t="s">
        <v>31</v>
      </c>
      <c r="Q18" s="26" t="s">
        <v>31</v>
      </c>
      <c r="R18" s="26" t="s">
        <v>31</v>
      </c>
      <c r="S18" s="26" t="s">
        <v>31</v>
      </c>
      <c r="T18" s="26" t="s">
        <v>31</v>
      </c>
      <c r="U18" s="26" t="s">
        <v>31</v>
      </c>
    </row>
    <row r="19" spans="1:21" ht="19.5" customHeight="1" x14ac:dyDescent="0.35">
      <c r="A19" s="7">
        <v>17</v>
      </c>
      <c r="B19" s="26" t="s">
        <v>31</v>
      </c>
      <c r="C19" s="26" t="s">
        <v>31</v>
      </c>
      <c r="D19" s="26" t="s">
        <v>31</v>
      </c>
      <c r="E19" s="26" t="s">
        <v>31</v>
      </c>
      <c r="F19" s="26" t="s">
        <v>31</v>
      </c>
      <c r="G19" s="27" t="s">
        <v>43</v>
      </c>
      <c r="H19" s="27" t="s">
        <v>43</v>
      </c>
      <c r="I19" s="27" t="s">
        <v>43</v>
      </c>
      <c r="J19" s="27" t="s">
        <v>43</v>
      </c>
      <c r="K19" s="27" t="s">
        <v>43</v>
      </c>
      <c r="L19" s="27" t="s">
        <v>43</v>
      </c>
      <c r="M19" s="27" t="s">
        <v>43</v>
      </c>
      <c r="N19" s="27" t="s">
        <v>43</v>
      </c>
      <c r="O19" s="27" t="s">
        <v>43</v>
      </c>
      <c r="P19" s="27" t="s">
        <v>43</v>
      </c>
      <c r="Q19" s="26" t="s">
        <v>31</v>
      </c>
      <c r="R19" s="26" t="s">
        <v>31</v>
      </c>
      <c r="S19" s="26" t="s">
        <v>31</v>
      </c>
      <c r="T19" s="26" t="s">
        <v>31</v>
      </c>
      <c r="U19" s="26" t="s">
        <v>31</v>
      </c>
    </row>
    <row r="20" spans="1:21" ht="19.5" customHeight="1" x14ac:dyDescent="0.35">
      <c r="A20" s="7">
        <v>18</v>
      </c>
      <c r="B20" s="26" t="s">
        <v>31</v>
      </c>
      <c r="C20" s="26" t="s">
        <v>31</v>
      </c>
      <c r="D20" s="26" t="s">
        <v>31</v>
      </c>
      <c r="E20" s="27" t="s">
        <v>43</v>
      </c>
      <c r="F20" s="27" t="s">
        <v>43</v>
      </c>
      <c r="G20" s="27" t="s">
        <v>43</v>
      </c>
      <c r="H20" s="27" t="s">
        <v>43</v>
      </c>
      <c r="I20" s="27" t="s">
        <v>43</v>
      </c>
      <c r="J20" s="27" t="s">
        <v>43</v>
      </c>
      <c r="K20" s="27" t="s">
        <v>43</v>
      </c>
      <c r="L20" s="27" t="s">
        <v>43</v>
      </c>
      <c r="M20" s="27" t="s">
        <v>43</v>
      </c>
      <c r="N20" s="27" t="s">
        <v>43</v>
      </c>
      <c r="O20" s="27" t="s">
        <v>43</v>
      </c>
      <c r="P20" s="27" t="s">
        <v>43</v>
      </c>
      <c r="Q20" s="27" t="s">
        <v>43</v>
      </c>
      <c r="R20" s="27" t="s">
        <v>43</v>
      </c>
      <c r="S20" s="26" t="s">
        <v>31</v>
      </c>
      <c r="T20" s="26" t="s">
        <v>31</v>
      </c>
      <c r="U20" s="26" t="s">
        <v>31</v>
      </c>
    </row>
    <row r="21" spans="1:21" ht="19.5" customHeight="1" x14ac:dyDescent="0.35">
      <c r="A21" s="7">
        <v>19</v>
      </c>
      <c r="B21" s="26" t="s">
        <v>31</v>
      </c>
      <c r="C21" s="11" t="s">
        <v>55</v>
      </c>
      <c r="D21" s="11" t="s">
        <v>55</v>
      </c>
      <c r="E21" s="26" t="s">
        <v>31</v>
      </c>
      <c r="F21" s="26" t="s">
        <v>31</v>
      </c>
      <c r="G21" s="26" t="s">
        <v>31</v>
      </c>
      <c r="H21" s="26" t="s">
        <v>31</v>
      </c>
      <c r="I21" s="26" t="s">
        <v>31</v>
      </c>
      <c r="J21" s="26" t="s">
        <v>31</v>
      </c>
      <c r="K21" s="26" t="s">
        <v>31</v>
      </c>
      <c r="L21" s="26" t="s">
        <v>31</v>
      </c>
      <c r="M21" s="26" t="s">
        <v>31</v>
      </c>
      <c r="N21" s="26" t="s">
        <v>31</v>
      </c>
      <c r="O21" s="26" t="s">
        <v>31</v>
      </c>
      <c r="P21" s="26" t="s">
        <v>31</v>
      </c>
      <c r="Q21" s="26" t="s">
        <v>31</v>
      </c>
      <c r="R21" s="11" t="s">
        <v>55</v>
      </c>
      <c r="S21" s="11" t="s">
        <v>55</v>
      </c>
      <c r="T21" s="26" t="s">
        <v>31</v>
      </c>
      <c r="U21" s="26" t="s">
        <v>31</v>
      </c>
    </row>
    <row r="22" spans="1:21" ht="19.5" customHeight="1" x14ac:dyDescent="0.35">
      <c r="A22" s="7">
        <v>20</v>
      </c>
      <c r="B22" s="26" t="s">
        <v>31</v>
      </c>
      <c r="C22" s="26" t="s">
        <v>31</v>
      </c>
      <c r="D22" s="26" t="s">
        <v>31</v>
      </c>
      <c r="E22" s="26" t="s">
        <v>31</v>
      </c>
      <c r="F22" s="26" t="s">
        <v>31</v>
      </c>
      <c r="G22" s="26" t="s">
        <v>31</v>
      </c>
      <c r="H22" s="11" t="s">
        <v>55</v>
      </c>
      <c r="I22" s="11" t="s">
        <v>55</v>
      </c>
      <c r="J22" s="26" t="s">
        <v>31</v>
      </c>
      <c r="K22" s="26" t="s">
        <v>31</v>
      </c>
      <c r="L22" s="26" t="s">
        <v>31</v>
      </c>
      <c r="M22" s="26" t="s">
        <v>31</v>
      </c>
      <c r="N22" s="11" t="s">
        <v>55</v>
      </c>
      <c r="O22" s="11" t="s">
        <v>55</v>
      </c>
      <c r="P22" s="26" t="s">
        <v>31</v>
      </c>
      <c r="Q22" s="26" t="s">
        <v>31</v>
      </c>
      <c r="R22" s="26" t="s">
        <v>31</v>
      </c>
      <c r="S22" s="26" t="s">
        <v>31</v>
      </c>
      <c r="T22" s="26" t="s">
        <v>31</v>
      </c>
      <c r="U22" s="26" t="s">
        <v>31</v>
      </c>
    </row>
  </sheetData>
  <conditionalFormatting sqref="B3:U22">
    <cfRule type="cellIs" dxfId="84" priority="2" operator="equal">
      <formula>"S"</formula>
    </cfRule>
    <cfRule type="cellIs" dxfId="83" priority="3" operator="equal">
      <formula>"W"</formula>
    </cfRule>
    <cfRule type="cellIs" dxfId="82" priority="4" operator="equal">
      <formula>"R"</formula>
    </cfRule>
    <cfRule type="cellIs" dxfId="81" priority="5" operator="equal">
      <formula>"Y"</formula>
    </cfRule>
    <cfRule type="cellIs" dxfId="80" priority="6" operator="equal">
      <formula>"D"</formula>
    </cfRule>
    <cfRule type="cellIs" dxfId="79" priority="7" operator="equal">
      <formula>"B"</formula>
    </cfRule>
    <cfRule type="cellIs" dxfId="78" priority="8" operator="equal">
      <formula>"N"</formula>
    </cfRule>
  </conditionalFormatting>
  <pageMargins left="0.75" right="0.75" top="1" bottom="1" header="0.511811023622047" footer="0.511811023622047"/>
  <pageSetup scale="9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22"/>
  <sheetViews>
    <sheetView zoomScale="55" zoomScaleNormal="5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328125" defaultRowHeight="14.5" x14ac:dyDescent="0.35"/>
  <cols>
    <col min="1" max="1" width="4" customWidth="1"/>
    <col min="2" max="21" width="3.6328125" customWidth="1"/>
    <col min="23" max="23" width="6" customWidth="1"/>
    <col min="24" max="24" width="16" customWidth="1"/>
    <col min="25" max="25" width="8" customWidth="1"/>
    <col min="26" max="26" width="10" customWidth="1"/>
    <col min="27" max="27" width="8" customWidth="1"/>
  </cols>
  <sheetData>
    <row r="1" spans="1:27" ht="18" x14ac:dyDescent="0.4">
      <c r="A1" s="1" t="s">
        <v>74</v>
      </c>
      <c r="W1" s="2" t="s">
        <v>75</v>
      </c>
    </row>
    <row r="2" spans="1:27" x14ac:dyDescent="0.35"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</row>
    <row r="3" spans="1:27" ht="19.5" customHeight="1" x14ac:dyDescent="0.35">
      <c r="A3" s="7">
        <v>1</v>
      </c>
      <c r="B3" s="28" t="s">
        <v>30</v>
      </c>
      <c r="C3" s="28" t="s">
        <v>30</v>
      </c>
      <c r="D3" s="28" t="s">
        <v>30</v>
      </c>
      <c r="E3" s="28" t="s">
        <v>30</v>
      </c>
      <c r="F3" s="28" t="s">
        <v>30</v>
      </c>
      <c r="G3" s="28" t="s">
        <v>30</v>
      </c>
      <c r="H3" s="28" t="s">
        <v>30</v>
      </c>
      <c r="I3" s="28" t="s">
        <v>30</v>
      </c>
      <c r="J3" s="28" t="s">
        <v>30</v>
      </c>
      <c r="K3" s="28" t="s">
        <v>30</v>
      </c>
      <c r="L3" s="28" t="s">
        <v>30</v>
      </c>
      <c r="M3" s="28" t="s">
        <v>30</v>
      </c>
      <c r="N3" s="28" t="s">
        <v>30</v>
      </c>
      <c r="O3" s="28" t="s">
        <v>30</v>
      </c>
      <c r="P3" s="28" t="s">
        <v>30</v>
      </c>
      <c r="Q3" s="28" t="s">
        <v>30</v>
      </c>
      <c r="R3" s="28" t="s">
        <v>30</v>
      </c>
      <c r="S3" s="28" t="s">
        <v>30</v>
      </c>
      <c r="T3" s="28" t="s">
        <v>30</v>
      </c>
      <c r="U3" s="28" t="s">
        <v>30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54</v>
      </c>
    </row>
    <row r="4" spans="1:27" ht="19.5" customHeight="1" x14ac:dyDescent="0.35">
      <c r="A4" s="7">
        <v>2</v>
      </c>
      <c r="B4" s="28" t="s">
        <v>30</v>
      </c>
      <c r="C4" s="28" t="s">
        <v>30</v>
      </c>
      <c r="D4" s="28" t="s">
        <v>30</v>
      </c>
      <c r="E4" s="28" t="s">
        <v>30</v>
      </c>
      <c r="F4" s="28" t="s">
        <v>30</v>
      </c>
      <c r="G4" s="28" t="s">
        <v>30</v>
      </c>
      <c r="H4" s="28" t="s">
        <v>30</v>
      </c>
      <c r="I4" s="28" t="s">
        <v>30</v>
      </c>
      <c r="J4" s="28" t="s">
        <v>30</v>
      </c>
      <c r="K4" s="28" t="s">
        <v>30</v>
      </c>
      <c r="L4" s="28" t="s">
        <v>30</v>
      </c>
      <c r="M4" s="28" t="s">
        <v>30</v>
      </c>
      <c r="N4" s="28" t="s">
        <v>30</v>
      </c>
      <c r="O4" s="28" t="s">
        <v>30</v>
      </c>
      <c r="P4" s="28" t="s">
        <v>30</v>
      </c>
      <c r="Q4" s="29" t="s">
        <v>44</v>
      </c>
      <c r="R4" s="28" t="s">
        <v>30</v>
      </c>
      <c r="S4" s="29" t="s">
        <v>44</v>
      </c>
      <c r="T4" s="28" t="s">
        <v>30</v>
      </c>
      <c r="U4" s="28" t="s">
        <v>30</v>
      </c>
      <c r="W4" s="12" t="s">
        <v>30</v>
      </c>
      <c r="X4" s="4" t="s">
        <v>76</v>
      </c>
      <c r="Y4" s="30"/>
      <c r="Z4" s="14" t="s">
        <v>77</v>
      </c>
      <c r="AA4" s="15">
        <f t="shared" ref="AA4:AA18" si="0">COUNTIF($B$3:$U$22,W4)</f>
        <v>65</v>
      </c>
    </row>
    <row r="5" spans="1:27" ht="19.5" customHeight="1" x14ac:dyDescent="0.35">
      <c r="A5" s="7">
        <v>3</v>
      </c>
      <c r="B5" s="28" t="s">
        <v>30</v>
      </c>
      <c r="C5" s="28" t="s">
        <v>30</v>
      </c>
      <c r="D5" s="28" t="s">
        <v>30</v>
      </c>
      <c r="E5" s="28" t="s">
        <v>30</v>
      </c>
      <c r="F5" s="28" t="s">
        <v>30</v>
      </c>
      <c r="G5" s="28" t="s">
        <v>30</v>
      </c>
      <c r="H5" s="28" t="s">
        <v>30</v>
      </c>
      <c r="I5" s="31" t="s">
        <v>35</v>
      </c>
      <c r="J5" s="32" t="s">
        <v>36</v>
      </c>
      <c r="K5" s="33" t="s">
        <v>37</v>
      </c>
      <c r="L5" s="33" t="s">
        <v>37</v>
      </c>
      <c r="M5" s="32" t="s">
        <v>36</v>
      </c>
      <c r="N5" s="31" t="s">
        <v>35</v>
      </c>
      <c r="O5" s="28" t="s">
        <v>30</v>
      </c>
      <c r="P5" s="28" t="s">
        <v>30</v>
      </c>
      <c r="Q5" s="28" t="s">
        <v>30</v>
      </c>
      <c r="R5" s="29" t="s">
        <v>44</v>
      </c>
      <c r="S5" s="28" t="s">
        <v>30</v>
      </c>
      <c r="T5" s="28" t="s">
        <v>30</v>
      </c>
      <c r="U5" s="28" t="s">
        <v>30</v>
      </c>
      <c r="W5" s="12" t="s">
        <v>31</v>
      </c>
      <c r="X5" s="4" t="s">
        <v>78</v>
      </c>
      <c r="Y5" s="34"/>
      <c r="Z5" s="14" t="s">
        <v>79</v>
      </c>
      <c r="AA5" s="15">
        <f t="shared" si="0"/>
        <v>48</v>
      </c>
    </row>
    <row r="6" spans="1:27" ht="19.5" customHeight="1" x14ac:dyDescent="0.35">
      <c r="A6" s="7">
        <v>4</v>
      </c>
      <c r="B6" s="28" t="s">
        <v>30</v>
      </c>
      <c r="C6" s="11" t="s">
        <v>34</v>
      </c>
      <c r="D6" s="11" t="s">
        <v>34</v>
      </c>
      <c r="E6" s="11" t="s">
        <v>34</v>
      </c>
      <c r="F6" s="28" t="s">
        <v>30</v>
      </c>
      <c r="G6" s="28" t="s">
        <v>30</v>
      </c>
      <c r="H6" s="35" t="s">
        <v>38</v>
      </c>
      <c r="I6" s="31" t="s">
        <v>35</v>
      </c>
      <c r="J6" s="32" t="s">
        <v>36</v>
      </c>
      <c r="K6" s="33" t="s">
        <v>37</v>
      </c>
      <c r="L6" s="33" t="s">
        <v>37</v>
      </c>
      <c r="M6" s="32" t="s">
        <v>36</v>
      </c>
      <c r="N6" s="31" t="s">
        <v>35</v>
      </c>
      <c r="O6" s="35" t="s">
        <v>38</v>
      </c>
      <c r="P6" s="28" t="s">
        <v>30</v>
      </c>
      <c r="Q6" s="28" t="s">
        <v>30</v>
      </c>
      <c r="R6" s="28" t="s">
        <v>30</v>
      </c>
      <c r="S6" s="28" t="s">
        <v>30</v>
      </c>
      <c r="T6" s="28" t="s">
        <v>30</v>
      </c>
      <c r="U6" s="28" t="s">
        <v>30</v>
      </c>
      <c r="W6" s="12" t="s">
        <v>32</v>
      </c>
      <c r="X6" s="4" t="s">
        <v>80</v>
      </c>
      <c r="Y6" s="36"/>
      <c r="Z6" s="14" t="s">
        <v>81</v>
      </c>
      <c r="AA6" s="15">
        <f t="shared" si="0"/>
        <v>61</v>
      </c>
    </row>
    <row r="7" spans="1:27" ht="19.5" customHeight="1" x14ac:dyDescent="0.35">
      <c r="A7" s="7">
        <v>5</v>
      </c>
      <c r="B7" s="11" t="s">
        <v>34</v>
      </c>
      <c r="C7" s="11" t="s">
        <v>34</v>
      </c>
      <c r="D7" s="11" t="s">
        <v>34</v>
      </c>
      <c r="E7" s="11" t="s">
        <v>34</v>
      </c>
      <c r="F7" s="11" t="s">
        <v>34</v>
      </c>
      <c r="G7" s="37" t="s">
        <v>39</v>
      </c>
      <c r="H7" s="35" t="s">
        <v>38</v>
      </c>
      <c r="I7" s="31" t="s">
        <v>35</v>
      </c>
      <c r="J7" s="32" t="s">
        <v>36</v>
      </c>
      <c r="K7" s="33" t="s">
        <v>37</v>
      </c>
      <c r="L7" s="33" t="s">
        <v>37</v>
      </c>
      <c r="M7" s="32" t="s">
        <v>36</v>
      </c>
      <c r="N7" s="31" t="s">
        <v>35</v>
      </c>
      <c r="O7" s="35" t="s">
        <v>38</v>
      </c>
      <c r="P7" s="37" t="s">
        <v>39</v>
      </c>
      <c r="Q7" s="28" t="s">
        <v>30</v>
      </c>
      <c r="R7" s="28" t="s">
        <v>30</v>
      </c>
      <c r="S7" s="28" t="s">
        <v>30</v>
      </c>
      <c r="T7" s="28" t="s">
        <v>30</v>
      </c>
      <c r="U7" s="28" t="s">
        <v>30</v>
      </c>
      <c r="W7" s="12" t="s">
        <v>33</v>
      </c>
      <c r="X7" s="4" t="s">
        <v>82</v>
      </c>
      <c r="Y7" s="38"/>
      <c r="Z7" s="14" t="s">
        <v>83</v>
      </c>
      <c r="AA7" s="15">
        <f t="shared" si="0"/>
        <v>7</v>
      </c>
    </row>
    <row r="8" spans="1:27" ht="19.5" customHeight="1" x14ac:dyDescent="0.35">
      <c r="A8" s="7">
        <v>6</v>
      </c>
      <c r="B8" s="39" t="s">
        <v>31</v>
      </c>
      <c r="C8" s="39" t="s">
        <v>31</v>
      </c>
      <c r="D8" s="39" t="s">
        <v>31</v>
      </c>
      <c r="E8" s="39" t="s">
        <v>31</v>
      </c>
      <c r="F8" s="39" t="s">
        <v>31</v>
      </c>
      <c r="G8" s="37" t="s">
        <v>39</v>
      </c>
      <c r="H8" s="35" t="s">
        <v>38</v>
      </c>
      <c r="I8" s="31" t="s">
        <v>35</v>
      </c>
      <c r="J8" s="32" t="s">
        <v>36</v>
      </c>
      <c r="K8" s="33" t="s">
        <v>37</v>
      </c>
      <c r="L8" s="33" t="s">
        <v>37</v>
      </c>
      <c r="M8" s="32" t="s">
        <v>36</v>
      </c>
      <c r="N8" s="31" t="s">
        <v>35</v>
      </c>
      <c r="O8" s="35" t="s">
        <v>38</v>
      </c>
      <c r="P8" s="37" t="s">
        <v>39</v>
      </c>
      <c r="Q8" s="39" t="s">
        <v>31</v>
      </c>
      <c r="R8" s="39" t="s">
        <v>31</v>
      </c>
      <c r="S8" s="39" t="s">
        <v>31</v>
      </c>
      <c r="T8" s="39" t="s">
        <v>31</v>
      </c>
      <c r="U8" s="39" t="s">
        <v>31</v>
      </c>
      <c r="W8" s="12" t="s">
        <v>34</v>
      </c>
      <c r="X8" s="4" t="s">
        <v>84</v>
      </c>
      <c r="Y8" s="16"/>
      <c r="Z8" s="14" t="s">
        <v>59</v>
      </c>
      <c r="AA8" s="15">
        <f t="shared" si="0"/>
        <v>16</v>
      </c>
    </row>
    <row r="9" spans="1:27" ht="19.5" customHeight="1" x14ac:dyDescent="0.35">
      <c r="A9" s="7">
        <v>7</v>
      </c>
      <c r="B9" s="39" t="s">
        <v>31</v>
      </c>
      <c r="C9" s="39" t="s">
        <v>31</v>
      </c>
      <c r="D9" s="39" t="s">
        <v>31</v>
      </c>
      <c r="E9" s="39" t="s">
        <v>31</v>
      </c>
      <c r="F9" s="39" t="s">
        <v>31</v>
      </c>
      <c r="G9" s="37" t="s">
        <v>39</v>
      </c>
      <c r="H9" s="35" t="s">
        <v>38</v>
      </c>
      <c r="I9" s="31" t="s">
        <v>35</v>
      </c>
      <c r="J9" s="32" t="s">
        <v>36</v>
      </c>
      <c r="K9" s="33" t="s">
        <v>37</v>
      </c>
      <c r="L9" s="33" t="s">
        <v>37</v>
      </c>
      <c r="M9" s="32" t="s">
        <v>36</v>
      </c>
      <c r="N9" s="31" t="s">
        <v>35</v>
      </c>
      <c r="O9" s="35" t="s">
        <v>38</v>
      </c>
      <c r="P9" s="37" t="s">
        <v>39</v>
      </c>
      <c r="Q9" s="39" t="s">
        <v>31</v>
      </c>
      <c r="R9" s="39" t="s">
        <v>31</v>
      </c>
      <c r="S9" s="39" t="s">
        <v>31</v>
      </c>
      <c r="T9" s="39" t="s">
        <v>31</v>
      </c>
      <c r="U9" s="39" t="s">
        <v>31</v>
      </c>
      <c r="W9" s="12" t="s">
        <v>35</v>
      </c>
      <c r="X9" s="4" t="s">
        <v>61</v>
      </c>
      <c r="Y9" s="40"/>
      <c r="Z9" s="14" t="s">
        <v>85</v>
      </c>
      <c r="AA9" s="15">
        <f t="shared" si="0"/>
        <v>16</v>
      </c>
    </row>
    <row r="10" spans="1:27" ht="19.5" customHeight="1" x14ac:dyDescent="0.35">
      <c r="A10" s="7">
        <v>8</v>
      </c>
      <c r="B10" s="39" t="s">
        <v>31</v>
      </c>
      <c r="C10" s="39" t="s">
        <v>31</v>
      </c>
      <c r="D10" s="39" t="s">
        <v>31</v>
      </c>
      <c r="E10" s="39" t="s">
        <v>31</v>
      </c>
      <c r="F10" s="39" t="s">
        <v>31</v>
      </c>
      <c r="G10" s="37" t="s">
        <v>39</v>
      </c>
      <c r="H10" s="35" t="s">
        <v>38</v>
      </c>
      <c r="I10" s="31" t="s">
        <v>35</v>
      </c>
      <c r="J10" s="32" t="s">
        <v>36</v>
      </c>
      <c r="K10" s="33" t="s">
        <v>37</v>
      </c>
      <c r="L10" s="33" t="s">
        <v>37</v>
      </c>
      <c r="M10" s="32" t="s">
        <v>36</v>
      </c>
      <c r="N10" s="31" t="s">
        <v>35</v>
      </c>
      <c r="O10" s="35" t="s">
        <v>38</v>
      </c>
      <c r="P10" s="37" t="s">
        <v>39</v>
      </c>
      <c r="Q10" s="11" t="s">
        <v>34</v>
      </c>
      <c r="R10" s="11" t="s">
        <v>34</v>
      </c>
      <c r="S10" s="11" t="s">
        <v>34</v>
      </c>
      <c r="T10" s="11" t="s">
        <v>34</v>
      </c>
      <c r="U10" s="39" t="s">
        <v>31</v>
      </c>
      <c r="W10" s="12" t="s">
        <v>36</v>
      </c>
      <c r="X10" s="4" t="s">
        <v>86</v>
      </c>
      <c r="Y10" s="41"/>
      <c r="Z10" s="14" t="s">
        <v>87</v>
      </c>
      <c r="AA10" s="15">
        <f t="shared" si="0"/>
        <v>18</v>
      </c>
    </row>
    <row r="11" spans="1:27" ht="19.5" customHeight="1" x14ac:dyDescent="0.35">
      <c r="A11" s="7">
        <v>9</v>
      </c>
      <c r="B11" s="39" t="s">
        <v>31</v>
      </c>
      <c r="C11" s="39" t="s">
        <v>31</v>
      </c>
      <c r="D11" s="39" t="s">
        <v>31</v>
      </c>
      <c r="E11" s="39" t="s">
        <v>31</v>
      </c>
      <c r="F11" s="39" t="s">
        <v>31</v>
      </c>
      <c r="G11" s="39" t="s">
        <v>31</v>
      </c>
      <c r="H11" s="35" t="s">
        <v>38</v>
      </c>
      <c r="I11" s="31" t="s">
        <v>35</v>
      </c>
      <c r="J11" s="32" t="s">
        <v>36</v>
      </c>
      <c r="K11" s="33" t="s">
        <v>37</v>
      </c>
      <c r="L11" s="33" t="s">
        <v>37</v>
      </c>
      <c r="M11" s="32" t="s">
        <v>36</v>
      </c>
      <c r="N11" s="31" t="s">
        <v>35</v>
      </c>
      <c r="O11" s="35" t="s">
        <v>38</v>
      </c>
      <c r="P11" s="39" t="s">
        <v>31</v>
      </c>
      <c r="Q11" s="39" t="s">
        <v>31</v>
      </c>
      <c r="R11" s="11" t="s">
        <v>34</v>
      </c>
      <c r="S11" s="11" t="s">
        <v>34</v>
      </c>
      <c r="T11" s="11" t="s">
        <v>34</v>
      </c>
      <c r="U11" s="11" t="s">
        <v>34</v>
      </c>
      <c r="W11" s="12" t="s">
        <v>37</v>
      </c>
      <c r="X11" s="4" t="s">
        <v>88</v>
      </c>
      <c r="Y11" s="42"/>
      <c r="Z11" s="14" t="s">
        <v>89</v>
      </c>
      <c r="AA11" s="15">
        <f t="shared" si="0"/>
        <v>18</v>
      </c>
    </row>
    <row r="12" spans="1:27" ht="19.5" customHeight="1" x14ac:dyDescent="0.35">
      <c r="A12" s="7">
        <v>10</v>
      </c>
      <c r="B12" s="39" t="s">
        <v>31</v>
      </c>
      <c r="C12" s="39" t="s">
        <v>31</v>
      </c>
      <c r="D12" s="39" t="s">
        <v>31</v>
      </c>
      <c r="E12" s="39" t="s">
        <v>31</v>
      </c>
      <c r="F12" s="39" t="s">
        <v>31</v>
      </c>
      <c r="G12" s="39" t="s">
        <v>31</v>
      </c>
      <c r="H12" s="39" t="s">
        <v>31</v>
      </c>
      <c r="I12" s="31" t="s">
        <v>35</v>
      </c>
      <c r="J12" s="32" t="s">
        <v>36</v>
      </c>
      <c r="K12" s="33" t="s">
        <v>37</v>
      </c>
      <c r="L12" s="33" t="s">
        <v>37</v>
      </c>
      <c r="M12" s="32" t="s">
        <v>36</v>
      </c>
      <c r="N12" s="31" t="s">
        <v>35</v>
      </c>
      <c r="O12" s="39" t="s">
        <v>31</v>
      </c>
      <c r="P12" s="39" t="s">
        <v>31</v>
      </c>
      <c r="Q12" s="39" t="s">
        <v>31</v>
      </c>
      <c r="R12" s="39" t="s">
        <v>31</v>
      </c>
      <c r="S12" s="39" t="s">
        <v>31</v>
      </c>
      <c r="T12" s="39" t="s">
        <v>31</v>
      </c>
      <c r="U12" s="39" t="s">
        <v>31</v>
      </c>
      <c r="W12" s="12" t="s">
        <v>38</v>
      </c>
      <c r="X12" s="4" t="s">
        <v>90</v>
      </c>
      <c r="Y12" s="43"/>
      <c r="Z12" s="14" t="s">
        <v>91</v>
      </c>
      <c r="AA12" s="15">
        <f t="shared" si="0"/>
        <v>12</v>
      </c>
    </row>
    <row r="13" spans="1:27" ht="19.5" customHeight="1" x14ac:dyDescent="0.35">
      <c r="A13" s="7">
        <v>11</v>
      </c>
      <c r="B13" s="44" t="s">
        <v>32</v>
      </c>
      <c r="C13" s="44" t="s">
        <v>32</v>
      </c>
      <c r="D13" s="44" t="s">
        <v>32</v>
      </c>
      <c r="E13" s="44" t="s">
        <v>32</v>
      </c>
      <c r="F13" s="44" t="s">
        <v>32</v>
      </c>
      <c r="G13" s="44" t="s">
        <v>32</v>
      </c>
      <c r="H13" s="44" t="s">
        <v>32</v>
      </c>
      <c r="I13" s="44" t="s">
        <v>32</v>
      </c>
      <c r="J13" s="32" t="s">
        <v>36</v>
      </c>
      <c r="K13" s="33" t="s">
        <v>37</v>
      </c>
      <c r="L13" s="33" t="s">
        <v>37</v>
      </c>
      <c r="M13" s="32" t="s">
        <v>36</v>
      </c>
      <c r="N13" s="44" t="s">
        <v>32</v>
      </c>
      <c r="O13" s="44" t="s">
        <v>32</v>
      </c>
      <c r="P13" s="44" t="s">
        <v>32</v>
      </c>
      <c r="Q13" s="44" t="s">
        <v>32</v>
      </c>
      <c r="R13" s="44" t="s">
        <v>32</v>
      </c>
      <c r="S13" s="44" t="s">
        <v>32</v>
      </c>
      <c r="T13" s="44" t="s">
        <v>32</v>
      </c>
      <c r="U13" s="44" t="s">
        <v>32</v>
      </c>
      <c r="W13" s="12" t="s">
        <v>39</v>
      </c>
      <c r="X13" s="4" t="s">
        <v>92</v>
      </c>
      <c r="Y13" s="45"/>
      <c r="Z13" s="14" t="s">
        <v>93</v>
      </c>
      <c r="AA13" s="15">
        <f t="shared" si="0"/>
        <v>8</v>
      </c>
    </row>
    <row r="14" spans="1:27" ht="19.5" customHeight="1" x14ac:dyDescent="0.35">
      <c r="A14" s="7">
        <v>12</v>
      </c>
      <c r="B14" s="44" t="s">
        <v>32</v>
      </c>
      <c r="C14" s="44" t="s">
        <v>32</v>
      </c>
      <c r="D14" s="44" t="s">
        <v>32</v>
      </c>
      <c r="E14" s="44" t="s">
        <v>32</v>
      </c>
      <c r="F14" s="44" t="s">
        <v>32</v>
      </c>
      <c r="G14" s="44" t="s">
        <v>32</v>
      </c>
      <c r="H14" s="44" t="s">
        <v>32</v>
      </c>
      <c r="I14" s="44" t="s">
        <v>32</v>
      </c>
      <c r="J14" s="46" t="s">
        <v>40</v>
      </c>
      <c r="K14" s="44" t="s">
        <v>32</v>
      </c>
      <c r="L14" s="44" t="s">
        <v>32</v>
      </c>
      <c r="M14" s="46" t="s">
        <v>40</v>
      </c>
      <c r="N14" s="44" t="s">
        <v>32</v>
      </c>
      <c r="O14" s="44" t="s">
        <v>32</v>
      </c>
      <c r="P14" s="44" t="s">
        <v>32</v>
      </c>
      <c r="Q14" s="44" t="s">
        <v>32</v>
      </c>
      <c r="R14" s="47" t="s">
        <v>33</v>
      </c>
      <c r="S14" s="44" t="s">
        <v>32</v>
      </c>
      <c r="T14" s="44" t="s">
        <v>32</v>
      </c>
      <c r="U14" s="44" t="s">
        <v>32</v>
      </c>
      <c r="W14" s="12" t="s">
        <v>40</v>
      </c>
      <c r="X14" s="4" t="s">
        <v>94</v>
      </c>
      <c r="Y14" s="48"/>
      <c r="Z14" s="14" t="s">
        <v>95</v>
      </c>
      <c r="AA14" s="15">
        <f t="shared" si="0"/>
        <v>8</v>
      </c>
    </row>
    <row r="15" spans="1:27" ht="19.5" customHeight="1" x14ac:dyDescent="0.35">
      <c r="A15" s="7">
        <v>13</v>
      </c>
      <c r="B15" s="44" t="s">
        <v>32</v>
      </c>
      <c r="C15" s="44" t="s">
        <v>32</v>
      </c>
      <c r="D15" s="44" t="s">
        <v>32</v>
      </c>
      <c r="E15" s="44" t="s">
        <v>32</v>
      </c>
      <c r="F15" s="44" t="s">
        <v>32</v>
      </c>
      <c r="G15" s="44" t="s">
        <v>32</v>
      </c>
      <c r="H15" s="44" t="s">
        <v>32</v>
      </c>
      <c r="I15" s="44" t="s">
        <v>32</v>
      </c>
      <c r="J15" s="46" t="s">
        <v>40</v>
      </c>
      <c r="K15" s="44" t="s">
        <v>32</v>
      </c>
      <c r="L15" s="44" t="s">
        <v>32</v>
      </c>
      <c r="M15" s="46" t="s">
        <v>40</v>
      </c>
      <c r="N15" s="44" t="s">
        <v>32</v>
      </c>
      <c r="O15" s="44" t="s">
        <v>32</v>
      </c>
      <c r="P15" s="44" t="s">
        <v>32</v>
      </c>
      <c r="Q15" s="47" t="s">
        <v>33</v>
      </c>
      <c r="R15" s="47" t="s">
        <v>33</v>
      </c>
      <c r="S15" s="47" t="s">
        <v>33</v>
      </c>
      <c r="T15" s="44" t="s">
        <v>32</v>
      </c>
      <c r="U15" s="44" t="s">
        <v>32</v>
      </c>
      <c r="W15" s="12" t="s">
        <v>41</v>
      </c>
      <c r="X15" s="4" t="s">
        <v>96</v>
      </c>
      <c r="Y15" s="49"/>
      <c r="Z15" s="14" t="s">
        <v>97</v>
      </c>
      <c r="AA15" s="15">
        <f t="shared" si="0"/>
        <v>4</v>
      </c>
    </row>
    <row r="16" spans="1:27" ht="19.5" customHeight="1" x14ac:dyDescent="0.35">
      <c r="A16" s="7">
        <v>14</v>
      </c>
      <c r="B16" s="44" t="s">
        <v>32</v>
      </c>
      <c r="C16" s="50" t="s">
        <v>42</v>
      </c>
      <c r="D16" s="50" t="s">
        <v>42</v>
      </c>
      <c r="E16" s="50" t="s">
        <v>42</v>
      </c>
      <c r="F16" s="44" t="s">
        <v>32</v>
      </c>
      <c r="G16" s="44" t="s">
        <v>32</v>
      </c>
      <c r="H16" s="44" t="s">
        <v>32</v>
      </c>
      <c r="I16" s="44" t="s">
        <v>32</v>
      </c>
      <c r="J16" s="46" t="s">
        <v>40</v>
      </c>
      <c r="K16" s="46" t="s">
        <v>40</v>
      </c>
      <c r="L16" s="46" t="s">
        <v>40</v>
      </c>
      <c r="M16" s="46" t="s">
        <v>40</v>
      </c>
      <c r="N16" s="50" t="s">
        <v>42</v>
      </c>
      <c r="O16" s="50" t="s">
        <v>42</v>
      </c>
      <c r="P16" s="44" t="s">
        <v>32</v>
      </c>
      <c r="Q16" s="47" t="s">
        <v>33</v>
      </c>
      <c r="R16" s="47" t="s">
        <v>33</v>
      </c>
      <c r="S16" s="47" t="s">
        <v>33</v>
      </c>
      <c r="T16" s="44" t="s">
        <v>32</v>
      </c>
      <c r="U16" s="44" t="s">
        <v>32</v>
      </c>
      <c r="W16" s="12" t="s">
        <v>42</v>
      </c>
      <c r="X16" s="4" t="s">
        <v>98</v>
      </c>
      <c r="Y16" s="51"/>
      <c r="Z16" s="14" t="s">
        <v>99</v>
      </c>
      <c r="AA16" s="15">
        <f t="shared" si="0"/>
        <v>47</v>
      </c>
    </row>
    <row r="17" spans="1:27" ht="19.5" customHeight="1" x14ac:dyDescent="0.35">
      <c r="A17" s="7">
        <v>15</v>
      </c>
      <c r="B17" s="50" t="s">
        <v>42</v>
      </c>
      <c r="C17" s="50" t="s">
        <v>42</v>
      </c>
      <c r="D17" s="50" t="s">
        <v>42</v>
      </c>
      <c r="E17" s="50" t="s">
        <v>42</v>
      </c>
      <c r="F17" s="50" t="s">
        <v>42</v>
      </c>
      <c r="G17" s="50" t="s">
        <v>42</v>
      </c>
      <c r="H17" s="44" t="s">
        <v>32</v>
      </c>
      <c r="I17" s="44" t="s">
        <v>32</v>
      </c>
      <c r="J17" s="52" t="s">
        <v>41</v>
      </c>
      <c r="K17" s="52" t="s">
        <v>41</v>
      </c>
      <c r="L17" s="52" t="s">
        <v>41</v>
      </c>
      <c r="M17" s="52" t="s">
        <v>41</v>
      </c>
      <c r="N17" s="50" t="s">
        <v>42</v>
      </c>
      <c r="O17" s="50" t="s">
        <v>42</v>
      </c>
      <c r="P17" s="50" t="s">
        <v>42</v>
      </c>
      <c r="Q17" s="50" t="s">
        <v>42</v>
      </c>
      <c r="R17" s="50" t="s">
        <v>42</v>
      </c>
      <c r="S17" s="44" t="s">
        <v>32</v>
      </c>
      <c r="T17" s="44" t="s">
        <v>32</v>
      </c>
      <c r="U17" s="44" t="s">
        <v>32</v>
      </c>
      <c r="W17" s="12" t="s">
        <v>43</v>
      </c>
      <c r="X17" s="4" t="s">
        <v>100</v>
      </c>
      <c r="Y17" s="53"/>
      <c r="Z17" s="14" t="s">
        <v>101</v>
      </c>
      <c r="AA17" s="15">
        <f t="shared" si="0"/>
        <v>69</v>
      </c>
    </row>
    <row r="18" spans="1:27" ht="19.5" customHeight="1" x14ac:dyDescent="0.35">
      <c r="A18" s="7">
        <v>16</v>
      </c>
      <c r="B18" s="50" t="s">
        <v>42</v>
      </c>
      <c r="C18" s="50" t="s">
        <v>42</v>
      </c>
      <c r="D18" s="50" t="s">
        <v>42</v>
      </c>
      <c r="E18" s="50" t="s">
        <v>42</v>
      </c>
      <c r="F18" s="50" t="s">
        <v>42</v>
      </c>
      <c r="G18" s="50" t="s">
        <v>42</v>
      </c>
      <c r="H18" s="50" t="s">
        <v>42</v>
      </c>
      <c r="I18" s="50" t="s">
        <v>42</v>
      </c>
      <c r="J18" s="50" t="s">
        <v>42</v>
      </c>
      <c r="K18" s="50" t="s">
        <v>42</v>
      </c>
      <c r="L18" s="50" t="s">
        <v>42</v>
      </c>
      <c r="M18" s="50" t="s">
        <v>42</v>
      </c>
      <c r="N18" s="50" t="s">
        <v>42</v>
      </c>
      <c r="O18" s="50" t="s">
        <v>42</v>
      </c>
      <c r="P18" s="50" t="s">
        <v>42</v>
      </c>
      <c r="Q18" s="50" t="s">
        <v>42</v>
      </c>
      <c r="R18" s="50" t="s">
        <v>42</v>
      </c>
      <c r="S18" s="50" t="s">
        <v>42</v>
      </c>
      <c r="T18" s="50" t="s">
        <v>42</v>
      </c>
      <c r="U18" s="50" t="s">
        <v>42</v>
      </c>
      <c r="W18" s="12" t="s">
        <v>44</v>
      </c>
      <c r="X18" s="4" t="s">
        <v>102</v>
      </c>
      <c r="Y18" s="54"/>
      <c r="Z18" s="14" t="s">
        <v>103</v>
      </c>
      <c r="AA18" s="15">
        <f t="shared" si="0"/>
        <v>3</v>
      </c>
    </row>
    <row r="19" spans="1:27" ht="19.5" customHeight="1" x14ac:dyDescent="0.35">
      <c r="A19" s="7">
        <v>17</v>
      </c>
      <c r="B19" s="50" t="s">
        <v>42</v>
      </c>
      <c r="C19" s="50" t="s">
        <v>42</v>
      </c>
      <c r="D19" s="55" t="s">
        <v>43</v>
      </c>
      <c r="E19" s="55" t="s">
        <v>43</v>
      </c>
      <c r="F19" s="55" t="s">
        <v>43</v>
      </c>
      <c r="G19" s="50" t="s">
        <v>42</v>
      </c>
      <c r="H19" s="50" t="s">
        <v>42</v>
      </c>
      <c r="I19" s="50" t="s">
        <v>42</v>
      </c>
      <c r="J19" s="50" t="s">
        <v>42</v>
      </c>
      <c r="K19" s="50" t="s">
        <v>42</v>
      </c>
      <c r="L19" s="55" t="s">
        <v>43</v>
      </c>
      <c r="M19" s="55" t="s">
        <v>43</v>
      </c>
      <c r="N19" s="55" t="s">
        <v>43</v>
      </c>
      <c r="O19" s="55" t="s">
        <v>43</v>
      </c>
      <c r="P19" s="50" t="s">
        <v>42</v>
      </c>
      <c r="Q19" s="50" t="s">
        <v>42</v>
      </c>
      <c r="R19" s="50" t="s">
        <v>42</v>
      </c>
      <c r="S19" s="50" t="s">
        <v>42</v>
      </c>
      <c r="T19" s="55" t="s">
        <v>43</v>
      </c>
      <c r="U19" s="55" t="s">
        <v>43</v>
      </c>
      <c r="X19" s="24" t="s">
        <v>71</v>
      </c>
      <c r="AA19" s="12">
        <f>SUM(AA4:AA18)</f>
        <v>400</v>
      </c>
    </row>
    <row r="20" spans="1:27" ht="19.5" customHeight="1" x14ac:dyDescent="0.35">
      <c r="A20" s="7">
        <v>18</v>
      </c>
      <c r="B20" s="55" t="s">
        <v>43</v>
      </c>
      <c r="C20" s="55" t="s">
        <v>43</v>
      </c>
      <c r="D20" s="55" t="s">
        <v>43</v>
      </c>
      <c r="E20" s="55" t="s">
        <v>43</v>
      </c>
      <c r="F20" s="55" t="s">
        <v>43</v>
      </c>
      <c r="G20" s="55" t="s">
        <v>43</v>
      </c>
      <c r="H20" s="55" t="s">
        <v>43</v>
      </c>
      <c r="I20" s="55" t="s">
        <v>43</v>
      </c>
      <c r="J20" s="55" t="s">
        <v>43</v>
      </c>
      <c r="K20" s="55" t="s">
        <v>43</v>
      </c>
      <c r="L20" s="55" t="s">
        <v>43</v>
      </c>
      <c r="M20" s="55" t="s">
        <v>43</v>
      </c>
      <c r="N20" s="55" t="s">
        <v>43</v>
      </c>
      <c r="O20" s="55" t="s">
        <v>43</v>
      </c>
      <c r="P20" s="55" t="s">
        <v>43</v>
      </c>
      <c r="Q20" s="55" t="s">
        <v>43</v>
      </c>
      <c r="R20" s="55" t="s">
        <v>43</v>
      </c>
      <c r="S20" s="55" t="s">
        <v>43</v>
      </c>
      <c r="T20" s="55" t="s">
        <v>43</v>
      </c>
      <c r="U20" s="55" t="s">
        <v>43</v>
      </c>
      <c r="X20" s="24" t="s">
        <v>72</v>
      </c>
      <c r="AA20" s="12">
        <f>COUNTBLANK($B$3:$U$22)</f>
        <v>0</v>
      </c>
    </row>
    <row r="21" spans="1:27" ht="19.5" customHeight="1" x14ac:dyDescent="0.35">
      <c r="A21" s="7">
        <v>19</v>
      </c>
      <c r="B21" s="55" t="s">
        <v>43</v>
      </c>
      <c r="C21" s="55" t="s">
        <v>43</v>
      </c>
      <c r="D21" s="55" t="s">
        <v>43</v>
      </c>
      <c r="E21" s="55" t="s">
        <v>43</v>
      </c>
      <c r="F21" s="55" t="s">
        <v>43</v>
      </c>
      <c r="G21" s="55" t="s">
        <v>43</v>
      </c>
      <c r="H21" s="55" t="s">
        <v>43</v>
      </c>
      <c r="I21" s="55" t="s">
        <v>43</v>
      </c>
      <c r="J21" s="55" t="s">
        <v>43</v>
      </c>
      <c r="K21" s="55" t="s">
        <v>43</v>
      </c>
      <c r="L21" s="55" t="s">
        <v>43</v>
      </c>
      <c r="M21" s="55" t="s">
        <v>43</v>
      </c>
      <c r="N21" s="55" t="s">
        <v>43</v>
      </c>
      <c r="O21" s="55" t="s">
        <v>43</v>
      </c>
      <c r="P21" s="55" t="s">
        <v>43</v>
      </c>
      <c r="Q21" s="55" t="s">
        <v>43</v>
      </c>
      <c r="R21" s="55" t="s">
        <v>43</v>
      </c>
      <c r="S21" s="55" t="s">
        <v>43</v>
      </c>
      <c r="T21" s="55" t="s">
        <v>43</v>
      </c>
      <c r="U21" s="55" t="s">
        <v>43</v>
      </c>
    </row>
    <row r="22" spans="1:27" ht="19.5" customHeight="1" x14ac:dyDescent="0.35">
      <c r="A22" s="7">
        <v>20</v>
      </c>
      <c r="B22" s="55" t="s">
        <v>43</v>
      </c>
      <c r="C22" s="55" t="s">
        <v>43</v>
      </c>
      <c r="D22" s="55" t="s">
        <v>43</v>
      </c>
      <c r="E22" s="55" t="s">
        <v>43</v>
      </c>
      <c r="F22" s="55" t="s">
        <v>43</v>
      </c>
      <c r="G22" s="55" t="s">
        <v>43</v>
      </c>
      <c r="H22" s="55" t="s">
        <v>43</v>
      </c>
      <c r="I22" s="55" t="s">
        <v>43</v>
      </c>
      <c r="J22" s="55" t="s">
        <v>43</v>
      </c>
      <c r="K22" s="55" t="s">
        <v>43</v>
      </c>
      <c r="L22" s="55" t="s">
        <v>43</v>
      </c>
      <c r="M22" s="55" t="s">
        <v>43</v>
      </c>
      <c r="N22" s="55" t="s">
        <v>43</v>
      </c>
      <c r="O22" s="55" t="s">
        <v>43</v>
      </c>
      <c r="P22" s="55" t="s">
        <v>43</v>
      </c>
      <c r="Q22" s="55" t="s">
        <v>43</v>
      </c>
      <c r="R22" s="55" t="s">
        <v>43</v>
      </c>
      <c r="S22" s="55" t="s">
        <v>43</v>
      </c>
      <c r="T22" s="55" t="s">
        <v>43</v>
      </c>
      <c r="U22" s="55" t="s">
        <v>43</v>
      </c>
      <c r="W22" s="25" t="s">
        <v>73</v>
      </c>
    </row>
  </sheetData>
  <conditionalFormatting sqref="B3:U22">
    <cfRule type="cellIs" dxfId="77" priority="2" operator="equal">
      <formula>"A"</formula>
    </cfRule>
    <cfRule type="cellIs" dxfId="76" priority="3" operator="equal">
      <formula>"B"</formula>
    </cfRule>
    <cfRule type="cellIs" dxfId="75" priority="4" operator="equal">
      <formula>"C"</formula>
    </cfRule>
    <cfRule type="cellIs" dxfId="74" priority="5" operator="equal">
      <formula>"D"</formula>
    </cfRule>
    <cfRule type="cellIs" dxfId="73" priority="6" operator="equal">
      <formula>"E"</formula>
    </cfRule>
    <cfRule type="cellIs" dxfId="72" priority="7" operator="equal">
      <formula>"F"</formula>
    </cfRule>
    <cfRule type="cellIs" dxfId="71" priority="8" operator="equal">
      <formula>"G"</formula>
    </cfRule>
    <cfRule type="cellIs" dxfId="70" priority="9" operator="equal">
      <formula>"H"</formula>
    </cfRule>
    <cfRule type="cellIs" dxfId="69" priority="10" operator="equal">
      <formula>"I"</formula>
    </cfRule>
    <cfRule type="cellIs" dxfId="68" priority="11" operator="equal">
      <formula>"J"</formula>
    </cfRule>
    <cfRule type="cellIs" dxfId="67" priority="12" operator="equal">
      <formula>"K"</formula>
    </cfRule>
    <cfRule type="cellIs" dxfId="66" priority="13" operator="equal">
      <formula>"L"</formula>
    </cfRule>
    <cfRule type="cellIs" dxfId="65" priority="14" operator="equal">
      <formula>"M"</formula>
    </cfRule>
    <cfRule type="cellIs" dxfId="64" priority="15" operator="equal">
      <formula>"N"</formula>
    </cfRule>
    <cfRule type="cellIs" dxfId="63" priority="16" operator="equal">
      <formula>"O"</formula>
    </cfRule>
  </conditionalFormatting>
  <pageMargins left="0.75" right="0.75" top="1" bottom="1" header="0.511811023622047" footer="0.511811023622047"/>
  <pageSetup scale="9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2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328125" defaultRowHeight="14.5" x14ac:dyDescent="0.35"/>
  <cols>
    <col min="1" max="1" width="4" customWidth="1"/>
    <col min="2" max="21" width="3.6328125" customWidth="1"/>
    <col min="23" max="23" width="6" customWidth="1"/>
    <col min="24" max="24" width="16" customWidth="1"/>
    <col min="25" max="25" width="8" customWidth="1"/>
    <col min="26" max="26" width="10" customWidth="1"/>
    <col min="27" max="27" width="8" customWidth="1"/>
  </cols>
  <sheetData>
    <row r="1" spans="1:27" ht="18" x14ac:dyDescent="0.4">
      <c r="A1" s="1" t="s">
        <v>104</v>
      </c>
      <c r="W1" s="2" t="s">
        <v>105</v>
      </c>
    </row>
    <row r="2" spans="1:27" x14ac:dyDescent="0.35"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</row>
    <row r="3" spans="1:27" ht="19.5" customHeight="1" x14ac:dyDescent="0.35">
      <c r="A3" s="7">
        <v>1</v>
      </c>
      <c r="B3" s="56" t="s">
        <v>30</v>
      </c>
      <c r="C3" s="56" t="s">
        <v>30</v>
      </c>
      <c r="D3" s="56" t="s">
        <v>30</v>
      </c>
      <c r="E3" s="56" t="s">
        <v>30</v>
      </c>
      <c r="F3" s="56" t="s">
        <v>30</v>
      </c>
      <c r="G3" s="56" t="s">
        <v>30</v>
      </c>
      <c r="H3" s="11" t="s">
        <v>35</v>
      </c>
      <c r="I3" s="56" t="s">
        <v>30</v>
      </c>
      <c r="J3" s="56" t="s">
        <v>30</v>
      </c>
      <c r="K3" s="56" t="s">
        <v>30</v>
      </c>
      <c r="L3" s="56" t="s">
        <v>30</v>
      </c>
      <c r="M3" s="56" t="s">
        <v>30</v>
      </c>
      <c r="N3" s="11" t="s">
        <v>35</v>
      </c>
      <c r="O3" s="56" t="s">
        <v>30</v>
      </c>
      <c r="P3" s="56" t="s">
        <v>30</v>
      </c>
      <c r="Q3" s="56" t="s">
        <v>30</v>
      </c>
      <c r="R3" s="56" t="s">
        <v>30</v>
      </c>
      <c r="S3" s="56" t="s">
        <v>30</v>
      </c>
      <c r="T3" s="56" t="s">
        <v>30</v>
      </c>
      <c r="U3" s="56" t="s">
        <v>30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54</v>
      </c>
    </row>
    <row r="4" spans="1:27" ht="19.5" customHeight="1" x14ac:dyDescent="0.35">
      <c r="A4" s="7">
        <v>2</v>
      </c>
      <c r="B4" s="56" t="s">
        <v>30</v>
      </c>
      <c r="C4" s="56" t="s">
        <v>30</v>
      </c>
      <c r="D4" s="56" t="s">
        <v>30</v>
      </c>
      <c r="E4" s="56" t="s">
        <v>30</v>
      </c>
      <c r="F4" s="56" t="s">
        <v>30</v>
      </c>
      <c r="G4" s="11" t="s">
        <v>35</v>
      </c>
      <c r="H4" s="56" t="s">
        <v>30</v>
      </c>
      <c r="I4" s="56" t="s">
        <v>30</v>
      </c>
      <c r="J4" s="56" t="s">
        <v>30</v>
      </c>
      <c r="K4" s="56" t="s">
        <v>30</v>
      </c>
      <c r="L4" s="56" t="s">
        <v>30</v>
      </c>
      <c r="M4" s="56" t="s">
        <v>30</v>
      </c>
      <c r="N4" s="56" t="s">
        <v>30</v>
      </c>
      <c r="O4" s="11" t="s">
        <v>35</v>
      </c>
      <c r="P4" s="56" t="s">
        <v>30</v>
      </c>
      <c r="Q4" s="56" t="s">
        <v>30</v>
      </c>
      <c r="R4" s="56" t="s">
        <v>30</v>
      </c>
      <c r="S4" s="56" t="s">
        <v>30</v>
      </c>
      <c r="T4" s="56" t="s">
        <v>30</v>
      </c>
      <c r="U4" s="56" t="s">
        <v>30</v>
      </c>
      <c r="W4" s="12" t="s">
        <v>30</v>
      </c>
      <c r="X4" s="4" t="s">
        <v>106</v>
      </c>
      <c r="Y4" s="57"/>
      <c r="Z4" s="14" t="s">
        <v>107</v>
      </c>
      <c r="AA4" s="15">
        <f t="shared" ref="AA4:AA18" si="0">COUNTIF($B$3:$U$22,W4)</f>
        <v>102</v>
      </c>
    </row>
    <row r="5" spans="1:27" ht="19.5" customHeight="1" x14ac:dyDescent="0.35">
      <c r="A5" s="7">
        <v>3</v>
      </c>
      <c r="B5" s="56" t="s">
        <v>30</v>
      </c>
      <c r="C5" s="56" t="s">
        <v>30</v>
      </c>
      <c r="D5" s="56" t="s">
        <v>30</v>
      </c>
      <c r="E5" s="56" t="s">
        <v>30</v>
      </c>
      <c r="F5" s="56" t="s">
        <v>30</v>
      </c>
      <c r="G5" s="56" t="s">
        <v>30</v>
      </c>
      <c r="H5" s="11" t="s">
        <v>35</v>
      </c>
      <c r="I5" s="56" t="s">
        <v>30</v>
      </c>
      <c r="J5" s="56" t="s">
        <v>30</v>
      </c>
      <c r="K5" s="56" t="s">
        <v>30</v>
      </c>
      <c r="L5" s="56" t="s">
        <v>30</v>
      </c>
      <c r="M5" s="56" t="s">
        <v>30</v>
      </c>
      <c r="N5" s="56" t="s">
        <v>30</v>
      </c>
      <c r="O5" s="56" t="s">
        <v>30</v>
      </c>
      <c r="P5" s="56" t="s">
        <v>30</v>
      </c>
      <c r="Q5" s="56" t="s">
        <v>30</v>
      </c>
      <c r="R5" s="56" t="s">
        <v>30</v>
      </c>
      <c r="S5" s="56" t="s">
        <v>30</v>
      </c>
      <c r="T5" s="56" t="s">
        <v>30</v>
      </c>
      <c r="U5" s="56" t="s">
        <v>30</v>
      </c>
      <c r="W5" s="12" t="s">
        <v>31</v>
      </c>
      <c r="X5" s="4" t="s">
        <v>108</v>
      </c>
      <c r="Y5" s="58"/>
      <c r="Z5" s="14" t="s">
        <v>109</v>
      </c>
      <c r="AA5" s="15">
        <f t="shared" si="0"/>
        <v>80</v>
      </c>
    </row>
    <row r="6" spans="1:27" ht="19.5" customHeight="1" x14ac:dyDescent="0.35">
      <c r="A6" s="7">
        <v>4</v>
      </c>
      <c r="B6" s="56" t="s">
        <v>30</v>
      </c>
      <c r="C6" s="56" t="s">
        <v>30</v>
      </c>
      <c r="D6" s="56" t="s">
        <v>30</v>
      </c>
      <c r="E6" s="56" t="s">
        <v>30</v>
      </c>
      <c r="F6" s="56" t="s">
        <v>30</v>
      </c>
      <c r="G6" s="56" t="s">
        <v>30</v>
      </c>
      <c r="H6" s="56" t="s">
        <v>30</v>
      </c>
      <c r="I6" s="56" t="s">
        <v>30</v>
      </c>
      <c r="J6" s="56" t="s">
        <v>30</v>
      </c>
      <c r="K6" s="56" t="s">
        <v>30</v>
      </c>
      <c r="L6" s="56" t="s">
        <v>30</v>
      </c>
      <c r="M6" s="56" t="s">
        <v>30</v>
      </c>
      <c r="N6" s="56" t="s">
        <v>30</v>
      </c>
      <c r="O6" s="56" t="s">
        <v>30</v>
      </c>
      <c r="P6" s="56" t="s">
        <v>30</v>
      </c>
      <c r="Q6" s="59" t="s">
        <v>37</v>
      </c>
      <c r="R6" s="59" t="s">
        <v>37</v>
      </c>
      <c r="S6" s="59" t="s">
        <v>37</v>
      </c>
      <c r="T6" s="59" t="s">
        <v>37</v>
      </c>
      <c r="U6" s="56" t="s">
        <v>30</v>
      </c>
      <c r="W6" s="12" t="s">
        <v>32</v>
      </c>
      <c r="X6" s="4" t="s">
        <v>110</v>
      </c>
      <c r="Y6" s="60"/>
      <c r="Z6" s="14" t="s">
        <v>111</v>
      </c>
      <c r="AA6" s="15">
        <f t="shared" si="0"/>
        <v>58</v>
      </c>
    </row>
    <row r="7" spans="1:27" ht="19.5" customHeight="1" x14ac:dyDescent="0.35">
      <c r="A7" s="7">
        <v>5</v>
      </c>
      <c r="B7" s="56" t="s">
        <v>30</v>
      </c>
      <c r="C7" s="56" t="s">
        <v>30</v>
      </c>
      <c r="D7" s="56" t="s">
        <v>30</v>
      </c>
      <c r="E7" s="56" t="s">
        <v>30</v>
      </c>
      <c r="F7" s="56" t="s">
        <v>30</v>
      </c>
      <c r="G7" s="56" t="s">
        <v>30</v>
      </c>
      <c r="H7" s="56" t="s">
        <v>30</v>
      </c>
      <c r="I7" s="56" t="s">
        <v>30</v>
      </c>
      <c r="J7" s="56" t="s">
        <v>30</v>
      </c>
      <c r="K7" s="56" t="s">
        <v>30</v>
      </c>
      <c r="L7" s="56" t="s">
        <v>30</v>
      </c>
      <c r="M7" s="56" t="s">
        <v>30</v>
      </c>
      <c r="N7" s="56" t="s">
        <v>30</v>
      </c>
      <c r="O7" s="56" t="s">
        <v>30</v>
      </c>
      <c r="P7" s="59" t="s">
        <v>37</v>
      </c>
      <c r="Q7" s="29" t="s">
        <v>36</v>
      </c>
      <c r="R7" s="59" t="s">
        <v>37</v>
      </c>
      <c r="S7" s="59" t="s">
        <v>37</v>
      </c>
      <c r="T7" s="59" t="s">
        <v>37</v>
      </c>
      <c r="U7" s="56" t="s">
        <v>30</v>
      </c>
      <c r="W7" s="12" t="s">
        <v>33</v>
      </c>
      <c r="X7" s="4" t="s">
        <v>69</v>
      </c>
      <c r="Y7" s="61"/>
      <c r="Z7" s="14" t="s">
        <v>112</v>
      </c>
      <c r="AA7" s="15">
        <f t="shared" si="0"/>
        <v>36</v>
      </c>
    </row>
    <row r="8" spans="1:27" ht="19.5" customHeight="1" x14ac:dyDescent="0.35">
      <c r="A8" s="7">
        <v>6</v>
      </c>
      <c r="B8" s="56" t="s">
        <v>30</v>
      </c>
      <c r="C8" s="56" t="s">
        <v>30</v>
      </c>
      <c r="D8" s="56" t="s">
        <v>30</v>
      </c>
      <c r="E8" s="56" t="s">
        <v>30</v>
      </c>
      <c r="F8" s="56" t="s">
        <v>30</v>
      </c>
      <c r="G8" s="56" t="s">
        <v>30</v>
      </c>
      <c r="H8" s="56" t="s">
        <v>30</v>
      </c>
      <c r="I8" s="56" t="s">
        <v>30</v>
      </c>
      <c r="J8" s="56" t="s">
        <v>30</v>
      </c>
      <c r="K8" s="56" t="s">
        <v>30</v>
      </c>
      <c r="L8" s="56" t="s">
        <v>30</v>
      </c>
      <c r="M8" s="56" t="s">
        <v>30</v>
      </c>
      <c r="N8" s="56" t="s">
        <v>30</v>
      </c>
      <c r="O8" s="56" t="s">
        <v>30</v>
      </c>
      <c r="P8" s="56" t="s">
        <v>30</v>
      </c>
      <c r="Q8" s="59" t="s">
        <v>37</v>
      </c>
      <c r="R8" s="59" t="s">
        <v>37</v>
      </c>
      <c r="S8" s="59" t="s">
        <v>37</v>
      </c>
      <c r="T8" s="59" t="s">
        <v>37</v>
      </c>
      <c r="U8" s="56" t="s">
        <v>30</v>
      </c>
      <c r="W8" s="12" t="s">
        <v>34</v>
      </c>
      <c r="X8" s="4" t="s">
        <v>113</v>
      </c>
      <c r="Y8" s="62"/>
      <c r="Z8" s="14" t="s">
        <v>114</v>
      </c>
      <c r="AA8" s="15">
        <f t="shared" si="0"/>
        <v>22</v>
      </c>
    </row>
    <row r="9" spans="1:27" ht="19.5" customHeight="1" x14ac:dyDescent="0.35">
      <c r="A9" s="7">
        <v>7</v>
      </c>
      <c r="B9" s="63" t="s">
        <v>31</v>
      </c>
      <c r="C9" s="63" t="s">
        <v>31</v>
      </c>
      <c r="D9" s="63" t="s">
        <v>31</v>
      </c>
      <c r="E9" s="63" t="s">
        <v>31</v>
      </c>
      <c r="F9" s="63" t="s">
        <v>31</v>
      </c>
      <c r="G9" s="63" t="s">
        <v>31</v>
      </c>
      <c r="H9" s="63" t="s">
        <v>31</v>
      </c>
      <c r="I9" s="64" t="s">
        <v>34</v>
      </c>
      <c r="J9" s="11" t="s">
        <v>35</v>
      </c>
      <c r="K9" s="64" t="s">
        <v>34</v>
      </c>
      <c r="L9" s="64" t="s">
        <v>34</v>
      </c>
      <c r="M9" s="63" t="s">
        <v>31</v>
      </c>
      <c r="N9" s="63" t="s">
        <v>31</v>
      </c>
      <c r="O9" s="63" t="s">
        <v>31</v>
      </c>
      <c r="P9" s="63" t="s">
        <v>31</v>
      </c>
      <c r="Q9" s="63" t="s">
        <v>31</v>
      </c>
      <c r="R9" s="63" t="s">
        <v>31</v>
      </c>
      <c r="S9" s="63" t="s">
        <v>31</v>
      </c>
      <c r="T9" s="63" t="s">
        <v>31</v>
      </c>
      <c r="U9" s="63" t="s">
        <v>31</v>
      </c>
      <c r="W9" s="12" t="s">
        <v>35</v>
      </c>
      <c r="X9" s="4" t="s">
        <v>58</v>
      </c>
      <c r="Y9" s="16"/>
      <c r="Z9" s="14" t="s">
        <v>59</v>
      </c>
      <c r="AA9" s="15">
        <f t="shared" si="0"/>
        <v>13</v>
      </c>
    </row>
    <row r="10" spans="1:27" ht="19.5" customHeight="1" x14ac:dyDescent="0.35">
      <c r="A10" s="7">
        <v>8</v>
      </c>
      <c r="B10" s="63" t="s">
        <v>31</v>
      </c>
      <c r="C10" s="63" t="s">
        <v>31</v>
      </c>
      <c r="D10" s="63" t="s">
        <v>31</v>
      </c>
      <c r="E10" s="64" t="s">
        <v>34</v>
      </c>
      <c r="F10" s="64" t="s">
        <v>34</v>
      </c>
      <c r="G10" s="63" t="s">
        <v>31</v>
      </c>
      <c r="H10" s="64" t="s">
        <v>34</v>
      </c>
      <c r="I10" s="64" t="s">
        <v>34</v>
      </c>
      <c r="J10" s="11" t="s">
        <v>35</v>
      </c>
      <c r="K10" s="64" t="s">
        <v>34</v>
      </c>
      <c r="L10" s="29" t="s">
        <v>36</v>
      </c>
      <c r="M10" s="11" t="s">
        <v>35</v>
      </c>
      <c r="N10" s="63" t="s">
        <v>31</v>
      </c>
      <c r="O10" s="63" t="s">
        <v>31</v>
      </c>
      <c r="P10" s="63" t="s">
        <v>31</v>
      </c>
      <c r="Q10" s="63" t="s">
        <v>31</v>
      </c>
      <c r="R10" s="63" t="s">
        <v>31</v>
      </c>
      <c r="S10" s="63" t="s">
        <v>31</v>
      </c>
      <c r="T10" s="63" t="s">
        <v>31</v>
      </c>
      <c r="U10" s="63" t="s">
        <v>31</v>
      </c>
      <c r="W10" s="12" t="s">
        <v>36</v>
      </c>
      <c r="X10" s="4" t="s">
        <v>102</v>
      </c>
      <c r="Y10" s="54"/>
      <c r="Z10" s="14" t="s">
        <v>103</v>
      </c>
      <c r="AA10" s="15">
        <f t="shared" si="0"/>
        <v>3</v>
      </c>
    </row>
    <row r="11" spans="1:27" ht="19.5" customHeight="1" x14ac:dyDescent="0.35">
      <c r="A11" s="7">
        <v>9</v>
      </c>
      <c r="B11" s="63" t="s">
        <v>31</v>
      </c>
      <c r="C11" s="63" t="s">
        <v>31</v>
      </c>
      <c r="D11" s="63" t="s">
        <v>31</v>
      </c>
      <c r="E11" s="63" t="s">
        <v>31</v>
      </c>
      <c r="F11" s="64" t="s">
        <v>34</v>
      </c>
      <c r="G11" s="64" t="s">
        <v>34</v>
      </c>
      <c r="H11" s="64" t="s">
        <v>34</v>
      </c>
      <c r="I11" s="64" t="s">
        <v>34</v>
      </c>
      <c r="J11" s="11" t="s">
        <v>35</v>
      </c>
      <c r="K11" s="64" t="s">
        <v>34</v>
      </c>
      <c r="L11" s="64" t="s">
        <v>34</v>
      </c>
      <c r="M11" s="11" t="s">
        <v>35</v>
      </c>
      <c r="N11" s="29" t="s">
        <v>36</v>
      </c>
      <c r="O11" s="63" t="s">
        <v>31</v>
      </c>
      <c r="P11" s="63" t="s">
        <v>31</v>
      </c>
      <c r="Q11" s="63" t="s">
        <v>31</v>
      </c>
      <c r="R11" s="63" t="s">
        <v>31</v>
      </c>
      <c r="S11" s="63" t="s">
        <v>31</v>
      </c>
      <c r="T11" s="63" t="s">
        <v>31</v>
      </c>
      <c r="U11" s="63" t="s">
        <v>31</v>
      </c>
      <c r="W11" s="12" t="s">
        <v>37</v>
      </c>
      <c r="X11" s="4" t="s">
        <v>115</v>
      </c>
      <c r="Y11" s="65"/>
      <c r="Z11" s="14" t="s">
        <v>116</v>
      </c>
      <c r="AA11" s="15">
        <f t="shared" si="0"/>
        <v>12</v>
      </c>
    </row>
    <row r="12" spans="1:27" ht="19.5" customHeight="1" x14ac:dyDescent="0.35">
      <c r="A12" s="7">
        <v>10</v>
      </c>
      <c r="B12" s="63" t="s">
        <v>31</v>
      </c>
      <c r="C12" s="63" t="s">
        <v>31</v>
      </c>
      <c r="D12" s="63" t="s">
        <v>31</v>
      </c>
      <c r="E12" s="64" t="s">
        <v>34</v>
      </c>
      <c r="F12" s="64" t="s">
        <v>34</v>
      </c>
      <c r="G12" s="63" t="s">
        <v>31</v>
      </c>
      <c r="H12" s="64" t="s">
        <v>34</v>
      </c>
      <c r="I12" s="64" t="s">
        <v>34</v>
      </c>
      <c r="J12" s="11" t="s">
        <v>35</v>
      </c>
      <c r="K12" s="64" t="s">
        <v>34</v>
      </c>
      <c r="L12" s="64" t="s">
        <v>34</v>
      </c>
      <c r="M12" s="11" t="s">
        <v>35</v>
      </c>
      <c r="N12" s="63" t="s">
        <v>31</v>
      </c>
      <c r="O12" s="63" t="s">
        <v>31</v>
      </c>
      <c r="P12" s="63" t="s">
        <v>31</v>
      </c>
      <c r="Q12" s="63" t="s">
        <v>31</v>
      </c>
      <c r="R12" s="63" t="s">
        <v>31</v>
      </c>
      <c r="S12" s="63" t="s">
        <v>31</v>
      </c>
      <c r="T12" s="63" t="s">
        <v>31</v>
      </c>
      <c r="U12" s="66" t="s">
        <v>41</v>
      </c>
      <c r="W12" s="12" t="s">
        <v>38</v>
      </c>
      <c r="X12" s="4" t="s">
        <v>117</v>
      </c>
      <c r="Y12" s="67"/>
      <c r="Z12" s="14" t="s">
        <v>118</v>
      </c>
      <c r="AA12" s="15">
        <f t="shared" si="0"/>
        <v>7</v>
      </c>
    </row>
    <row r="13" spans="1:27" ht="19.5" customHeight="1" x14ac:dyDescent="0.35">
      <c r="A13" s="7">
        <v>11</v>
      </c>
      <c r="B13" s="63" t="s">
        <v>31</v>
      </c>
      <c r="C13" s="63" t="s">
        <v>31</v>
      </c>
      <c r="D13" s="63" t="s">
        <v>31</v>
      </c>
      <c r="E13" s="63" t="s">
        <v>31</v>
      </c>
      <c r="F13" s="63" t="s">
        <v>31</v>
      </c>
      <c r="G13" s="63" t="s">
        <v>31</v>
      </c>
      <c r="H13" s="63" t="s">
        <v>31</v>
      </c>
      <c r="I13" s="64" t="s">
        <v>34</v>
      </c>
      <c r="J13" s="11" t="s">
        <v>35</v>
      </c>
      <c r="K13" s="66" t="s">
        <v>41</v>
      </c>
      <c r="L13" s="64" t="s">
        <v>34</v>
      </c>
      <c r="M13" s="63" t="s">
        <v>31</v>
      </c>
      <c r="N13" s="63" t="s">
        <v>31</v>
      </c>
      <c r="O13" s="63" t="s">
        <v>31</v>
      </c>
      <c r="P13" s="63" t="s">
        <v>31</v>
      </c>
      <c r="Q13" s="63" t="s">
        <v>31</v>
      </c>
      <c r="R13" s="63" t="s">
        <v>31</v>
      </c>
      <c r="S13" s="63" t="s">
        <v>31</v>
      </c>
      <c r="T13" s="63" t="s">
        <v>31</v>
      </c>
      <c r="U13" s="68" t="s">
        <v>42</v>
      </c>
      <c r="W13" s="12" t="s">
        <v>39</v>
      </c>
      <c r="X13" s="4" t="s">
        <v>119</v>
      </c>
      <c r="Y13" s="69"/>
      <c r="Z13" s="14" t="s">
        <v>120</v>
      </c>
      <c r="AA13" s="15">
        <f t="shared" si="0"/>
        <v>14</v>
      </c>
    </row>
    <row r="14" spans="1:27" ht="19.5" customHeight="1" x14ac:dyDescent="0.35">
      <c r="A14" s="7">
        <v>12</v>
      </c>
      <c r="B14" s="63" t="s">
        <v>31</v>
      </c>
      <c r="C14" s="70" t="s">
        <v>39</v>
      </c>
      <c r="D14" s="63" t="s">
        <v>31</v>
      </c>
      <c r="E14" s="63" t="s">
        <v>31</v>
      </c>
      <c r="F14" s="63" t="s">
        <v>31</v>
      </c>
      <c r="G14" s="70" t="s">
        <v>39</v>
      </c>
      <c r="H14" s="63" t="s">
        <v>31</v>
      </c>
      <c r="I14" s="63" t="s">
        <v>31</v>
      </c>
      <c r="J14" s="63" t="s">
        <v>31</v>
      </c>
      <c r="K14" s="68" t="s">
        <v>42</v>
      </c>
      <c r="L14" s="66" t="s">
        <v>41</v>
      </c>
      <c r="M14" s="63" t="s">
        <v>31</v>
      </c>
      <c r="N14" s="63" t="s">
        <v>31</v>
      </c>
      <c r="O14" s="63" t="s">
        <v>31</v>
      </c>
      <c r="P14" s="63" t="s">
        <v>31</v>
      </c>
      <c r="Q14" s="63" t="s">
        <v>31</v>
      </c>
      <c r="R14" s="63" t="s">
        <v>31</v>
      </c>
      <c r="S14" s="63" t="s">
        <v>31</v>
      </c>
      <c r="T14" s="63" t="s">
        <v>31</v>
      </c>
      <c r="U14" s="66" t="s">
        <v>41</v>
      </c>
      <c r="W14" s="12" t="s">
        <v>40</v>
      </c>
      <c r="X14" s="4" t="s">
        <v>121</v>
      </c>
      <c r="Y14" s="71"/>
      <c r="Z14" s="14" t="s">
        <v>122</v>
      </c>
      <c r="AA14" s="15">
        <f t="shared" si="0"/>
        <v>14</v>
      </c>
    </row>
    <row r="15" spans="1:27" ht="19.5" customHeight="1" x14ac:dyDescent="0.35">
      <c r="A15" s="7">
        <v>13</v>
      </c>
      <c r="B15" s="72" t="s">
        <v>32</v>
      </c>
      <c r="C15" s="70" t="s">
        <v>39</v>
      </c>
      <c r="D15" s="72" t="s">
        <v>32</v>
      </c>
      <c r="E15" s="70" t="s">
        <v>39</v>
      </c>
      <c r="F15" s="72" t="s">
        <v>32</v>
      </c>
      <c r="G15" s="70" t="s">
        <v>39</v>
      </c>
      <c r="H15" s="72" t="s">
        <v>32</v>
      </c>
      <c r="I15" s="72" t="s">
        <v>32</v>
      </c>
      <c r="J15" s="72" t="s">
        <v>32</v>
      </c>
      <c r="K15" s="66" t="s">
        <v>41</v>
      </c>
      <c r="L15" s="68" t="s">
        <v>42</v>
      </c>
      <c r="M15" s="72" t="s">
        <v>32</v>
      </c>
      <c r="N15" s="72" t="s">
        <v>32</v>
      </c>
      <c r="O15" s="73" t="s">
        <v>40</v>
      </c>
      <c r="P15" s="72" t="s">
        <v>32</v>
      </c>
      <c r="Q15" s="72" t="s">
        <v>32</v>
      </c>
      <c r="R15" s="72" t="s">
        <v>32</v>
      </c>
      <c r="S15" s="73" t="s">
        <v>40</v>
      </c>
      <c r="T15" s="72" t="s">
        <v>32</v>
      </c>
      <c r="U15" s="68" t="s">
        <v>42</v>
      </c>
      <c r="W15" s="12" t="s">
        <v>41</v>
      </c>
      <c r="X15" s="4" t="s">
        <v>123</v>
      </c>
      <c r="Y15" s="74"/>
      <c r="Z15" s="14" t="s">
        <v>124</v>
      </c>
      <c r="AA15" s="15">
        <f t="shared" si="0"/>
        <v>12</v>
      </c>
    </row>
    <row r="16" spans="1:27" ht="19.5" customHeight="1" x14ac:dyDescent="0.35">
      <c r="A16" s="7">
        <v>14</v>
      </c>
      <c r="B16" s="72" t="s">
        <v>32</v>
      </c>
      <c r="C16" s="72" t="s">
        <v>32</v>
      </c>
      <c r="D16" s="70" t="s">
        <v>39</v>
      </c>
      <c r="E16" s="70" t="s">
        <v>39</v>
      </c>
      <c r="F16" s="72" t="s">
        <v>32</v>
      </c>
      <c r="G16" s="70" t="s">
        <v>39</v>
      </c>
      <c r="H16" s="72" t="s">
        <v>32</v>
      </c>
      <c r="I16" s="72" t="s">
        <v>32</v>
      </c>
      <c r="J16" s="72" t="s">
        <v>32</v>
      </c>
      <c r="K16" s="68" t="s">
        <v>42</v>
      </c>
      <c r="L16" s="66" t="s">
        <v>41</v>
      </c>
      <c r="M16" s="72" t="s">
        <v>32</v>
      </c>
      <c r="N16" s="72" t="s">
        <v>32</v>
      </c>
      <c r="O16" s="73" t="s">
        <v>40</v>
      </c>
      <c r="P16" s="72" t="s">
        <v>32</v>
      </c>
      <c r="Q16" s="73" t="s">
        <v>40</v>
      </c>
      <c r="R16" s="72" t="s">
        <v>32</v>
      </c>
      <c r="S16" s="73" t="s">
        <v>40</v>
      </c>
      <c r="T16" s="72" t="s">
        <v>32</v>
      </c>
      <c r="U16" s="66" t="s">
        <v>41</v>
      </c>
      <c r="W16" s="12" t="s">
        <v>42</v>
      </c>
      <c r="X16" s="4" t="s">
        <v>125</v>
      </c>
      <c r="Y16" s="75"/>
      <c r="Z16" s="14" t="s">
        <v>126</v>
      </c>
      <c r="AA16" s="15">
        <f t="shared" si="0"/>
        <v>11</v>
      </c>
    </row>
    <row r="17" spans="1:27" ht="19.5" customHeight="1" x14ac:dyDescent="0.35">
      <c r="A17" s="7">
        <v>15</v>
      </c>
      <c r="B17" s="72" t="s">
        <v>32</v>
      </c>
      <c r="C17" s="72" t="s">
        <v>32</v>
      </c>
      <c r="D17" s="72" t="s">
        <v>32</v>
      </c>
      <c r="E17" s="70" t="s">
        <v>39</v>
      </c>
      <c r="F17" s="70" t="s">
        <v>39</v>
      </c>
      <c r="G17" s="72" t="s">
        <v>32</v>
      </c>
      <c r="H17" s="72" t="s">
        <v>32</v>
      </c>
      <c r="I17" s="72" t="s">
        <v>32</v>
      </c>
      <c r="J17" s="72" t="s">
        <v>32</v>
      </c>
      <c r="K17" s="66" t="s">
        <v>41</v>
      </c>
      <c r="L17" s="68" t="s">
        <v>42</v>
      </c>
      <c r="M17" s="72" t="s">
        <v>32</v>
      </c>
      <c r="N17" s="72" t="s">
        <v>32</v>
      </c>
      <c r="O17" s="72" t="s">
        <v>32</v>
      </c>
      <c r="P17" s="73" t="s">
        <v>40</v>
      </c>
      <c r="Q17" s="73" t="s">
        <v>40</v>
      </c>
      <c r="R17" s="72" t="s">
        <v>32</v>
      </c>
      <c r="S17" s="73" t="s">
        <v>40</v>
      </c>
      <c r="T17" s="72" t="s">
        <v>32</v>
      </c>
      <c r="U17" s="68" t="s">
        <v>42</v>
      </c>
      <c r="W17" s="12" t="s">
        <v>43</v>
      </c>
      <c r="X17" s="4" t="s">
        <v>92</v>
      </c>
      <c r="Y17" s="76"/>
      <c r="Z17" s="14" t="s">
        <v>127</v>
      </c>
      <c r="AA17" s="15">
        <f t="shared" si="0"/>
        <v>6</v>
      </c>
    </row>
    <row r="18" spans="1:27" ht="19.5" customHeight="1" x14ac:dyDescent="0.35">
      <c r="A18" s="7">
        <v>16</v>
      </c>
      <c r="B18" s="72" t="s">
        <v>32</v>
      </c>
      <c r="C18" s="72" t="s">
        <v>32</v>
      </c>
      <c r="D18" s="70" t="s">
        <v>39</v>
      </c>
      <c r="E18" s="70" t="s">
        <v>39</v>
      </c>
      <c r="F18" s="70" t="s">
        <v>39</v>
      </c>
      <c r="G18" s="72" t="s">
        <v>32</v>
      </c>
      <c r="H18" s="77" t="s">
        <v>44</v>
      </c>
      <c r="I18" s="77" t="s">
        <v>44</v>
      </c>
      <c r="J18" s="72" t="s">
        <v>32</v>
      </c>
      <c r="K18" s="68" t="s">
        <v>42</v>
      </c>
      <c r="L18" s="66" t="s">
        <v>41</v>
      </c>
      <c r="M18" s="72" t="s">
        <v>32</v>
      </c>
      <c r="N18" s="72" t="s">
        <v>32</v>
      </c>
      <c r="O18" s="72" t="s">
        <v>32</v>
      </c>
      <c r="P18" s="72" t="s">
        <v>32</v>
      </c>
      <c r="Q18" s="73" t="s">
        <v>40</v>
      </c>
      <c r="R18" s="73" t="s">
        <v>40</v>
      </c>
      <c r="S18" s="72" t="s">
        <v>32</v>
      </c>
      <c r="T18" s="72" t="s">
        <v>32</v>
      </c>
      <c r="U18" s="66" t="s">
        <v>41</v>
      </c>
      <c r="W18" s="12" t="s">
        <v>44</v>
      </c>
      <c r="X18" s="4" t="s">
        <v>128</v>
      </c>
      <c r="Y18" s="78"/>
      <c r="Z18" s="14" t="s">
        <v>129</v>
      </c>
      <c r="AA18" s="15">
        <f t="shared" si="0"/>
        <v>10</v>
      </c>
    </row>
    <row r="19" spans="1:27" ht="19.5" customHeight="1" x14ac:dyDescent="0.35">
      <c r="A19" s="7">
        <v>17</v>
      </c>
      <c r="B19" s="72" t="s">
        <v>32</v>
      </c>
      <c r="C19" s="72" t="s">
        <v>32</v>
      </c>
      <c r="D19" s="72" t="s">
        <v>32</v>
      </c>
      <c r="E19" s="70" t="s">
        <v>39</v>
      </c>
      <c r="F19" s="72" t="s">
        <v>32</v>
      </c>
      <c r="G19" s="77" t="s">
        <v>44</v>
      </c>
      <c r="H19" s="77" t="s">
        <v>44</v>
      </c>
      <c r="I19" s="77" t="s">
        <v>44</v>
      </c>
      <c r="J19" s="77" t="s">
        <v>44</v>
      </c>
      <c r="K19" s="66" t="s">
        <v>41</v>
      </c>
      <c r="L19" s="68" t="s">
        <v>42</v>
      </c>
      <c r="M19" s="72" t="s">
        <v>32</v>
      </c>
      <c r="N19" s="72" t="s">
        <v>32</v>
      </c>
      <c r="O19" s="72" t="s">
        <v>32</v>
      </c>
      <c r="P19" s="73" t="s">
        <v>40</v>
      </c>
      <c r="Q19" s="73" t="s">
        <v>40</v>
      </c>
      <c r="R19" s="73" t="s">
        <v>40</v>
      </c>
      <c r="S19" s="72" t="s">
        <v>32</v>
      </c>
      <c r="T19" s="72" t="s">
        <v>32</v>
      </c>
      <c r="U19" s="68" t="s">
        <v>42</v>
      </c>
      <c r="X19" s="24" t="s">
        <v>71</v>
      </c>
      <c r="AA19" s="12">
        <f>SUM(AA4:AA18)</f>
        <v>400</v>
      </c>
    </row>
    <row r="20" spans="1:27" ht="19.5" customHeight="1" x14ac:dyDescent="0.35">
      <c r="A20" s="7">
        <v>18</v>
      </c>
      <c r="B20" s="79" t="s">
        <v>33</v>
      </c>
      <c r="C20" s="79" t="s">
        <v>33</v>
      </c>
      <c r="D20" s="79" t="s">
        <v>33</v>
      </c>
      <c r="E20" s="72" t="s">
        <v>32</v>
      </c>
      <c r="F20" s="72" t="s">
        <v>32</v>
      </c>
      <c r="G20" s="77" t="s">
        <v>44</v>
      </c>
      <c r="H20" s="77" t="s">
        <v>44</v>
      </c>
      <c r="I20" s="77" t="s">
        <v>44</v>
      </c>
      <c r="J20" s="77" t="s">
        <v>44</v>
      </c>
      <c r="K20" s="68" t="s">
        <v>42</v>
      </c>
      <c r="L20" s="66" t="s">
        <v>41</v>
      </c>
      <c r="M20" s="79" t="s">
        <v>33</v>
      </c>
      <c r="N20" s="80" t="s">
        <v>43</v>
      </c>
      <c r="O20" s="79" t="s">
        <v>33</v>
      </c>
      <c r="P20" s="72" t="s">
        <v>32</v>
      </c>
      <c r="Q20" s="73" t="s">
        <v>40</v>
      </c>
      <c r="R20" s="72" t="s">
        <v>32</v>
      </c>
      <c r="S20" s="79" t="s">
        <v>33</v>
      </c>
      <c r="T20" s="79" t="s">
        <v>33</v>
      </c>
      <c r="U20" s="79" t="s">
        <v>33</v>
      </c>
      <c r="X20" s="24" t="s">
        <v>72</v>
      </c>
      <c r="AA20" s="12">
        <f>COUNTBLANK($B$3:$U$22)</f>
        <v>0</v>
      </c>
    </row>
    <row r="21" spans="1:27" ht="19.5" customHeight="1" x14ac:dyDescent="0.35">
      <c r="A21" s="7">
        <v>19</v>
      </c>
      <c r="B21" s="79" t="s">
        <v>33</v>
      </c>
      <c r="C21" s="79" t="s">
        <v>33</v>
      </c>
      <c r="D21" s="79" t="s">
        <v>33</v>
      </c>
      <c r="E21" s="79" t="s">
        <v>33</v>
      </c>
      <c r="F21" s="79" t="s">
        <v>33</v>
      </c>
      <c r="G21" s="79" t="s">
        <v>33</v>
      </c>
      <c r="H21" s="79" t="s">
        <v>33</v>
      </c>
      <c r="I21" s="79" t="s">
        <v>33</v>
      </c>
      <c r="J21" s="79" t="s">
        <v>33</v>
      </c>
      <c r="K21" s="79" t="s">
        <v>33</v>
      </c>
      <c r="L21" s="79" t="s">
        <v>33</v>
      </c>
      <c r="M21" s="80" t="s">
        <v>43</v>
      </c>
      <c r="N21" s="80" t="s">
        <v>43</v>
      </c>
      <c r="O21" s="80" t="s">
        <v>43</v>
      </c>
      <c r="P21" s="79" t="s">
        <v>33</v>
      </c>
      <c r="Q21" s="81" t="s">
        <v>38</v>
      </c>
      <c r="R21" s="79" t="s">
        <v>33</v>
      </c>
      <c r="S21" s="79" t="s">
        <v>33</v>
      </c>
      <c r="T21" s="79" t="s">
        <v>33</v>
      </c>
      <c r="U21" s="79" t="s">
        <v>33</v>
      </c>
    </row>
    <row r="22" spans="1:27" ht="19.5" customHeight="1" x14ac:dyDescent="0.35">
      <c r="A22" s="7">
        <v>20</v>
      </c>
      <c r="B22" s="79" t="s">
        <v>33</v>
      </c>
      <c r="C22" s="81" t="s">
        <v>38</v>
      </c>
      <c r="D22" s="81" t="s">
        <v>38</v>
      </c>
      <c r="E22" s="79" t="s">
        <v>33</v>
      </c>
      <c r="F22" s="79" t="s">
        <v>33</v>
      </c>
      <c r="G22" s="79" t="s">
        <v>33</v>
      </c>
      <c r="H22" s="81" t="s">
        <v>38</v>
      </c>
      <c r="I22" s="79" t="s">
        <v>33</v>
      </c>
      <c r="J22" s="79" t="s">
        <v>33</v>
      </c>
      <c r="K22" s="79" t="s">
        <v>33</v>
      </c>
      <c r="L22" s="79" t="s">
        <v>33</v>
      </c>
      <c r="M22" s="80" t="s">
        <v>43</v>
      </c>
      <c r="N22" s="79" t="s">
        <v>33</v>
      </c>
      <c r="O22" s="80" t="s">
        <v>43</v>
      </c>
      <c r="P22" s="79" t="s">
        <v>33</v>
      </c>
      <c r="Q22" s="81" t="s">
        <v>38</v>
      </c>
      <c r="R22" s="81" t="s">
        <v>38</v>
      </c>
      <c r="S22" s="79" t="s">
        <v>33</v>
      </c>
      <c r="T22" s="79" t="s">
        <v>33</v>
      </c>
      <c r="U22" s="81" t="s">
        <v>38</v>
      </c>
      <c r="W22" s="25" t="s">
        <v>73</v>
      </c>
    </row>
  </sheetData>
  <conditionalFormatting sqref="B3:U22">
    <cfRule type="cellIs" dxfId="62" priority="2" operator="equal">
      <formula>"A"</formula>
    </cfRule>
    <cfRule type="cellIs" dxfId="61" priority="3" operator="equal">
      <formula>"B"</formula>
    </cfRule>
    <cfRule type="cellIs" dxfId="60" priority="4" operator="equal">
      <formula>"C"</formula>
    </cfRule>
    <cfRule type="cellIs" dxfId="59" priority="5" operator="equal">
      <formula>"D"</formula>
    </cfRule>
    <cfRule type="cellIs" dxfId="58" priority="6" operator="equal">
      <formula>"E"</formula>
    </cfRule>
    <cfRule type="cellIs" dxfId="57" priority="7" operator="equal">
      <formula>"F"</formula>
    </cfRule>
    <cfRule type="cellIs" dxfId="56" priority="8" operator="equal">
      <formula>"G"</formula>
    </cfRule>
    <cfRule type="cellIs" dxfId="55" priority="9" operator="equal">
      <formula>"H"</formula>
    </cfRule>
    <cfRule type="cellIs" dxfId="54" priority="10" operator="equal">
      <formula>"I"</formula>
    </cfRule>
    <cfRule type="cellIs" dxfId="53" priority="11" operator="equal">
      <formula>"J"</formula>
    </cfRule>
    <cfRule type="cellIs" dxfId="52" priority="12" operator="equal">
      <formula>"K"</formula>
    </cfRule>
    <cfRule type="cellIs" dxfId="51" priority="13" operator="equal">
      <formula>"L"</formula>
    </cfRule>
    <cfRule type="cellIs" dxfId="50" priority="14" operator="equal">
      <formula>"M"</formula>
    </cfRule>
    <cfRule type="cellIs" dxfId="49" priority="15" operator="equal">
      <formula>"N"</formula>
    </cfRule>
    <cfRule type="cellIs" dxfId="48" priority="16" operator="equal">
      <formula>"O"</formula>
    </cfRule>
  </conditionalFormatting>
  <pageMargins left="0.75" right="0.75" top="1" bottom="1" header="0.511811023622047" footer="0.511811023622047"/>
  <pageSetup scale="9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22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328125" defaultRowHeight="14.5" x14ac:dyDescent="0.35"/>
  <cols>
    <col min="1" max="1" width="4" customWidth="1"/>
    <col min="2" max="21" width="3.6328125" customWidth="1"/>
    <col min="23" max="23" width="6" customWidth="1"/>
    <col min="24" max="24" width="16" customWidth="1"/>
    <col min="25" max="25" width="8" customWidth="1"/>
    <col min="26" max="26" width="10" customWidth="1"/>
    <col min="27" max="27" width="8" customWidth="1"/>
  </cols>
  <sheetData>
    <row r="1" spans="1:27" ht="18" x14ac:dyDescent="0.4">
      <c r="A1" s="1" t="s">
        <v>130</v>
      </c>
      <c r="W1" s="2" t="s">
        <v>131</v>
      </c>
    </row>
    <row r="2" spans="1:27" x14ac:dyDescent="0.35"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</row>
    <row r="3" spans="1:27" ht="19.5" customHeight="1" x14ac:dyDescent="0.35">
      <c r="A3" s="7">
        <v>1</v>
      </c>
      <c r="B3" s="82" t="s">
        <v>41</v>
      </c>
      <c r="C3" s="11" t="s">
        <v>55</v>
      </c>
      <c r="D3" s="11" t="s">
        <v>55</v>
      </c>
      <c r="E3" s="11" t="s">
        <v>55</v>
      </c>
      <c r="F3" s="11" t="s">
        <v>55</v>
      </c>
      <c r="G3" s="82" t="s">
        <v>41</v>
      </c>
      <c r="H3" s="82" t="s">
        <v>41</v>
      </c>
      <c r="I3" s="82" t="s">
        <v>41</v>
      </c>
      <c r="J3" s="82" t="s">
        <v>41</v>
      </c>
      <c r="K3" s="82" t="s">
        <v>41</v>
      </c>
      <c r="L3" s="82" t="s">
        <v>41</v>
      </c>
      <c r="M3" s="82" t="s">
        <v>41</v>
      </c>
      <c r="N3" s="82" t="s">
        <v>41</v>
      </c>
      <c r="O3" s="82" t="s">
        <v>41</v>
      </c>
      <c r="P3" s="82" t="s">
        <v>41</v>
      </c>
      <c r="Q3" s="83" t="s">
        <v>60</v>
      </c>
      <c r="R3" s="83" t="s">
        <v>60</v>
      </c>
      <c r="S3" s="82" t="s">
        <v>41</v>
      </c>
      <c r="T3" s="82" t="s">
        <v>41</v>
      </c>
      <c r="U3" s="82" t="s">
        <v>41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54</v>
      </c>
    </row>
    <row r="4" spans="1:27" ht="19.5" customHeight="1" x14ac:dyDescent="0.35">
      <c r="A4" s="7">
        <v>2</v>
      </c>
      <c r="B4" s="29" t="s">
        <v>40</v>
      </c>
      <c r="C4" s="29" t="s">
        <v>40</v>
      </c>
      <c r="D4" s="29" t="s">
        <v>40</v>
      </c>
      <c r="E4" s="29" t="s">
        <v>40</v>
      </c>
      <c r="F4" s="29" t="s">
        <v>40</v>
      </c>
      <c r="G4" s="29" t="s">
        <v>40</v>
      </c>
      <c r="H4" s="29" t="s">
        <v>40</v>
      </c>
      <c r="I4" s="29" t="s">
        <v>40</v>
      </c>
      <c r="J4" s="29" t="s">
        <v>40</v>
      </c>
      <c r="K4" s="29" t="s">
        <v>40</v>
      </c>
      <c r="L4" s="29" t="s">
        <v>40</v>
      </c>
      <c r="M4" s="29" t="s">
        <v>40</v>
      </c>
      <c r="N4" s="29" t="s">
        <v>40</v>
      </c>
      <c r="O4" s="29" t="s">
        <v>40</v>
      </c>
      <c r="P4" s="29" t="s">
        <v>40</v>
      </c>
      <c r="Q4" s="29" t="s">
        <v>40</v>
      </c>
      <c r="R4" s="29" t="s">
        <v>40</v>
      </c>
      <c r="S4" s="29" t="s">
        <v>40</v>
      </c>
      <c r="T4" s="29" t="s">
        <v>40</v>
      </c>
      <c r="U4" s="29" t="s">
        <v>40</v>
      </c>
      <c r="W4" s="12" t="s">
        <v>40</v>
      </c>
      <c r="X4" s="4" t="s">
        <v>102</v>
      </c>
      <c r="Y4" s="54"/>
      <c r="Z4" s="14" t="s">
        <v>103</v>
      </c>
      <c r="AA4" s="15">
        <f t="shared" ref="AA4:AA15" si="0">COUNTIF($B$3:$U$22,W4)</f>
        <v>91</v>
      </c>
    </row>
    <row r="5" spans="1:27" ht="19.5" customHeight="1" x14ac:dyDescent="0.35">
      <c r="A5" s="7">
        <v>3</v>
      </c>
      <c r="B5" s="29" t="s">
        <v>40</v>
      </c>
      <c r="C5" s="11" t="s">
        <v>55</v>
      </c>
      <c r="D5" s="84" t="s">
        <v>47</v>
      </c>
      <c r="E5" s="83" t="s">
        <v>60</v>
      </c>
      <c r="F5" s="85" t="s">
        <v>36</v>
      </c>
      <c r="G5" s="11" t="s">
        <v>55</v>
      </c>
      <c r="H5" s="86" t="s">
        <v>31</v>
      </c>
      <c r="I5" s="86" t="s">
        <v>31</v>
      </c>
      <c r="J5" s="86" t="s">
        <v>31</v>
      </c>
      <c r="K5" s="86" t="s">
        <v>31</v>
      </c>
      <c r="L5" s="11" t="s">
        <v>55</v>
      </c>
      <c r="M5" s="11" t="s">
        <v>55</v>
      </c>
      <c r="N5" s="87" t="s">
        <v>132</v>
      </c>
      <c r="O5" s="87" t="s">
        <v>132</v>
      </c>
      <c r="P5" s="87" t="s">
        <v>132</v>
      </c>
      <c r="Q5" s="11" t="s">
        <v>55</v>
      </c>
      <c r="R5" s="11" t="s">
        <v>55</v>
      </c>
      <c r="S5" s="11" t="s">
        <v>55</v>
      </c>
      <c r="T5" s="11" t="s">
        <v>55</v>
      </c>
      <c r="U5" s="29" t="s">
        <v>40</v>
      </c>
      <c r="W5" s="12" t="s">
        <v>55</v>
      </c>
      <c r="X5" s="4" t="s">
        <v>58</v>
      </c>
      <c r="Y5" s="16"/>
      <c r="Z5" s="14" t="s">
        <v>59</v>
      </c>
      <c r="AA5" s="15">
        <f t="shared" si="0"/>
        <v>34</v>
      </c>
    </row>
    <row r="6" spans="1:27" ht="19.5" customHeight="1" x14ac:dyDescent="0.35">
      <c r="A6" s="7">
        <v>4</v>
      </c>
      <c r="B6" s="29" t="s">
        <v>40</v>
      </c>
      <c r="C6" s="82" t="s">
        <v>41</v>
      </c>
      <c r="D6" s="86" t="s">
        <v>31</v>
      </c>
      <c r="E6" s="87" t="s">
        <v>132</v>
      </c>
      <c r="F6" s="87" t="s">
        <v>132</v>
      </c>
      <c r="G6" s="87" t="s">
        <v>132</v>
      </c>
      <c r="H6" s="86" t="s">
        <v>31</v>
      </c>
      <c r="I6" s="83" t="s">
        <v>60</v>
      </c>
      <c r="J6" s="83" t="s">
        <v>60</v>
      </c>
      <c r="K6" s="83" t="s">
        <v>60</v>
      </c>
      <c r="L6" s="83" t="s">
        <v>60</v>
      </c>
      <c r="M6" s="83" t="s">
        <v>60</v>
      </c>
      <c r="N6" s="88" t="s">
        <v>44</v>
      </c>
      <c r="O6" s="88" t="s">
        <v>44</v>
      </c>
      <c r="P6" s="11" t="s">
        <v>55</v>
      </c>
      <c r="Q6" s="86" t="s">
        <v>31</v>
      </c>
      <c r="R6" s="86" t="s">
        <v>31</v>
      </c>
      <c r="S6" s="86" t="s">
        <v>31</v>
      </c>
      <c r="T6" s="86" t="s">
        <v>31</v>
      </c>
      <c r="U6" s="29" t="s">
        <v>40</v>
      </c>
      <c r="W6" s="12" t="s">
        <v>47</v>
      </c>
      <c r="X6" s="4" t="s">
        <v>61</v>
      </c>
      <c r="Y6" s="89"/>
      <c r="Z6" s="14" t="s">
        <v>133</v>
      </c>
      <c r="AA6" s="15">
        <f t="shared" si="0"/>
        <v>19</v>
      </c>
    </row>
    <row r="7" spans="1:27" ht="19.5" customHeight="1" x14ac:dyDescent="0.35">
      <c r="A7" s="7">
        <v>5</v>
      </c>
      <c r="B7" s="29" t="s">
        <v>40</v>
      </c>
      <c r="C7" s="82" t="s">
        <v>41</v>
      </c>
      <c r="D7" s="86" t="s">
        <v>31</v>
      </c>
      <c r="E7" s="86" t="s">
        <v>31</v>
      </c>
      <c r="F7" s="86" t="s">
        <v>31</v>
      </c>
      <c r="G7" s="90" t="s">
        <v>45</v>
      </c>
      <c r="H7" s="90" t="s">
        <v>45</v>
      </c>
      <c r="I7" s="86" t="s">
        <v>31</v>
      </c>
      <c r="J7" s="11" t="s">
        <v>55</v>
      </c>
      <c r="K7" s="86" t="s">
        <v>31</v>
      </c>
      <c r="L7" s="85" t="s">
        <v>36</v>
      </c>
      <c r="M7" s="85" t="s">
        <v>36</v>
      </c>
      <c r="N7" s="85" t="s">
        <v>36</v>
      </c>
      <c r="O7" s="85" t="s">
        <v>36</v>
      </c>
      <c r="P7" s="85" t="s">
        <v>36</v>
      </c>
      <c r="Q7" s="85" t="s">
        <v>36</v>
      </c>
      <c r="R7" s="86" t="s">
        <v>31</v>
      </c>
      <c r="S7" s="86" t="s">
        <v>31</v>
      </c>
      <c r="T7" s="86" t="s">
        <v>31</v>
      </c>
      <c r="U7" s="29" t="s">
        <v>40</v>
      </c>
      <c r="W7" s="12" t="s">
        <v>44</v>
      </c>
      <c r="X7" s="4" t="s">
        <v>86</v>
      </c>
      <c r="Y7" s="91"/>
      <c r="Z7" s="14" t="s">
        <v>134</v>
      </c>
      <c r="AA7" s="15">
        <f t="shared" si="0"/>
        <v>16</v>
      </c>
    </row>
    <row r="8" spans="1:27" ht="19.5" customHeight="1" x14ac:dyDescent="0.35">
      <c r="A8" s="7">
        <v>6</v>
      </c>
      <c r="B8" s="29" t="s">
        <v>40</v>
      </c>
      <c r="C8" s="82" t="s">
        <v>41</v>
      </c>
      <c r="D8" s="86" t="s">
        <v>31</v>
      </c>
      <c r="E8" s="86" t="s">
        <v>31</v>
      </c>
      <c r="F8" s="86" t="s">
        <v>31</v>
      </c>
      <c r="G8" s="87" t="s">
        <v>132</v>
      </c>
      <c r="H8" s="87" t="s">
        <v>132</v>
      </c>
      <c r="I8" s="86" t="s">
        <v>31</v>
      </c>
      <c r="J8" s="90" t="s">
        <v>45</v>
      </c>
      <c r="K8" s="90" t="s">
        <v>45</v>
      </c>
      <c r="L8" s="86" t="s">
        <v>31</v>
      </c>
      <c r="M8" s="88" t="s">
        <v>44</v>
      </c>
      <c r="N8" s="83" t="s">
        <v>60</v>
      </c>
      <c r="O8" s="83" t="s">
        <v>60</v>
      </c>
      <c r="P8" s="88" t="s">
        <v>44</v>
      </c>
      <c r="Q8" s="11" t="s">
        <v>55</v>
      </c>
      <c r="R8" s="86" t="s">
        <v>31</v>
      </c>
      <c r="S8" s="86" t="s">
        <v>31</v>
      </c>
      <c r="T8" s="86" t="s">
        <v>31</v>
      </c>
      <c r="U8" s="29" t="s">
        <v>40</v>
      </c>
      <c r="W8" s="12" t="s">
        <v>60</v>
      </c>
      <c r="X8" s="4" t="s">
        <v>63</v>
      </c>
      <c r="Y8" s="92"/>
      <c r="Z8" s="14" t="s">
        <v>135</v>
      </c>
      <c r="AA8" s="15">
        <f t="shared" si="0"/>
        <v>18</v>
      </c>
    </row>
    <row r="9" spans="1:27" ht="19.5" customHeight="1" x14ac:dyDescent="0.35">
      <c r="A9" s="7">
        <v>7</v>
      </c>
      <c r="B9" s="29" t="s">
        <v>40</v>
      </c>
      <c r="C9" s="82" t="s">
        <v>41</v>
      </c>
      <c r="D9" s="86" t="s">
        <v>31</v>
      </c>
      <c r="E9" s="86" t="s">
        <v>31</v>
      </c>
      <c r="F9" s="86" t="s">
        <v>31</v>
      </c>
      <c r="G9" s="86" t="s">
        <v>31</v>
      </c>
      <c r="H9" s="86" t="s">
        <v>31</v>
      </c>
      <c r="I9" s="82" t="s">
        <v>41</v>
      </c>
      <c r="J9" s="82" t="s">
        <v>41</v>
      </c>
      <c r="K9" s="82" t="s">
        <v>41</v>
      </c>
      <c r="L9" s="82" t="s">
        <v>41</v>
      </c>
      <c r="M9" s="88" t="s">
        <v>44</v>
      </c>
      <c r="N9" s="90" t="s">
        <v>45</v>
      </c>
      <c r="O9" s="90" t="s">
        <v>45</v>
      </c>
      <c r="P9" s="88" t="s">
        <v>44</v>
      </c>
      <c r="Q9" s="86" t="s">
        <v>31</v>
      </c>
      <c r="R9" s="29" t="s">
        <v>40</v>
      </c>
      <c r="S9" s="86" t="s">
        <v>31</v>
      </c>
      <c r="T9" s="29" t="s">
        <v>40</v>
      </c>
      <c r="U9" s="29" t="s">
        <v>40</v>
      </c>
      <c r="W9" s="12" t="s">
        <v>36</v>
      </c>
      <c r="X9" s="4" t="s">
        <v>98</v>
      </c>
      <c r="Y9" s="93"/>
      <c r="Z9" s="14" t="s">
        <v>136</v>
      </c>
      <c r="AA9" s="15">
        <f t="shared" si="0"/>
        <v>14</v>
      </c>
    </row>
    <row r="10" spans="1:27" ht="19.5" customHeight="1" x14ac:dyDescent="0.35">
      <c r="A10" s="7">
        <v>8</v>
      </c>
      <c r="B10" s="29" t="s">
        <v>40</v>
      </c>
      <c r="C10" s="82" t="s">
        <v>41</v>
      </c>
      <c r="D10" s="86" t="s">
        <v>31</v>
      </c>
      <c r="E10" s="86" t="s">
        <v>31</v>
      </c>
      <c r="F10" s="86" t="s">
        <v>31</v>
      </c>
      <c r="G10" s="86" t="s">
        <v>31</v>
      </c>
      <c r="H10" s="86" t="s">
        <v>31</v>
      </c>
      <c r="I10" s="94" t="s">
        <v>43</v>
      </c>
      <c r="J10" s="94" t="s">
        <v>43</v>
      </c>
      <c r="K10" s="94" t="s">
        <v>43</v>
      </c>
      <c r="L10" s="94" t="s">
        <v>43</v>
      </c>
      <c r="M10" s="94" t="s">
        <v>43</v>
      </c>
      <c r="N10" s="94" t="s">
        <v>43</v>
      </c>
      <c r="O10" s="94" t="s">
        <v>43</v>
      </c>
      <c r="P10" s="86" t="s">
        <v>31</v>
      </c>
      <c r="Q10" s="86" t="s">
        <v>31</v>
      </c>
      <c r="R10" s="86" t="s">
        <v>31</v>
      </c>
      <c r="S10" s="29" t="s">
        <v>40</v>
      </c>
      <c r="T10" s="86" t="s">
        <v>31</v>
      </c>
      <c r="U10" s="29" t="s">
        <v>40</v>
      </c>
      <c r="W10" s="12" t="s">
        <v>43</v>
      </c>
      <c r="X10" s="4" t="s">
        <v>125</v>
      </c>
      <c r="Y10" s="95"/>
      <c r="Z10" s="14" t="s">
        <v>137</v>
      </c>
      <c r="AA10" s="15">
        <f t="shared" si="0"/>
        <v>14</v>
      </c>
    </row>
    <row r="11" spans="1:27" ht="19.5" customHeight="1" x14ac:dyDescent="0.35">
      <c r="A11" s="7">
        <v>9</v>
      </c>
      <c r="B11" s="29" t="s">
        <v>40</v>
      </c>
      <c r="C11" s="82" t="s">
        <v>41</v>
      </c>
      <c r="D11" s="86" t="s">
        <v>31</v>
      </c>
      <c r="E11" s="86" t="s">
        <v>31</v>
      </c>
      <c r="F11" s="87" t="s">
        <v>132</v>
      </c>
      <c r="G11" s="87" t="s">
        <v>132</v>
      </c>
      <c r="H11" s="87" t="s">
        <v>132</v>
      </c>
      <c r="I11" s="87" t="s">
        <v>132</v>
      </c>
      <c r="J11" s="86" t="s">
        <v>31</v>
      </c>
      <c r="K11" s="82" t="s">
        <v>41</v>
      </c>
      <c r="L11" s="82" t="s">
        <v>41</v>
      </c>
      <c r="M11" s="88" t="s">
        <v>44</v>
      </c>
      <c r="N11" s="86" t="s">
        <v>31</v>
      </c>
      <c r="O11" s="86" t="s">
        <v>31</v>
      </c>
      <c r="P11" s="29" t="s">
        <v>40</v>
      </c>
      <c r="Q11" s="84" t="s">
        <v>47</v>
      </c>
      <c r="R11" s="29" t="s">
        <v>40</v>
      </c>
      <c r="S11" s="84" t="s">
        <v>47</v>
      </c>
      <c r="T11" s="29" t="s">
        <v>40</v>
      </c>
      <c r="U11" s="29" t="s">
        <v>40</v>
      </c>
      <c r="W11" s="12" t="s">
        <v>41</v>
      </c>
      <c r="X11" s="4" t="s">
        <v>138</v>
      </c>
      <c r="Y11" s="96"/>
      <c r="Z11" s="14" t="s">
        <v>139</v>
      </c>
      <c r="AA11" s="15">
        <f t="shared" si="0"/>
        <v>44</v>
      </c>
    </row>
    <row r="12" spans="1:27" ht="19.5" customHeight="1" x14ac:dyDescent="0.35">
      <c r="A12" s="7">
        <v>10</v>
      </c>
      <c r="B12" s="29" t="s">
        <v>40</v>
      </c>
      <c r="C12" s="82" t="s">
        <v>41</v>
      </c>
      <c r="D12" s="86" t="s">
        <v>31</v>
      </c>
      <c r="E12" s="86" t="s">
        <v>31</v>
      </c>
      <c r="F12" s="86" t="s">
        <v>31</v>
      </c>
      <c r="G12" s="86" t="s">
        <v>31</v>
      </c>
      <c r="H12" s="90" t="s">
        <v>45</v>
      </c>
      <c r="I12" s="90" t="s">
        <v>45</v>
      </c>
      <c r="J12" s="11" t="s">
        <v>55</v>
      </c>
      <c r="K12" s="83" t="s">
        <v>60</v>
      </c>
      <c r="L12" s="83" t="s">
        <v>60</v>
      </c>
      <c r="M12" s="86" t="s">
        <v>31</v>
      </c>
      <c r="N12" s="86" t="s">
        <v>31</v>
      </c>
      <c r="O12" s="86" t="s">
        <v>31</v>
      </c>
      <c r="P12" s="84" t="s">
        <v>47</v>
      </c>
      <c r="Q12" s="84" t="s">
        <v>47</v>
      </c>
      <c r="R12" s="29" t="s">
        <v>40</v>
      </c>
      <c r="S12" s="84" t="s">
        <v>47</v>
      </c>
      <c r="T12" s="84" t="s">
        <v>47</v>
      </c>
      <c r="U12" s="29" t="s">
        <v>40</v>
      </c>
      <c r="W12" s="12" t="s">
        <v>31</v>
      </c>
      <c r="X12" s="4" t="s">
        <v>140</v>
      </c>
      <c r="Y12" s="97"/>
      <c r="Z12" s="14" t="s">
        <v>141</v>
      </c>
      <c r="AA12" s="15">
        <f t="shared" si="0"/>
        <v>92</v>
      </c>
    </row>
    <row r="13" spans="1:27" ht="19.5" customHeight="1" x14ac:dyDescent="0.35">
      <c r="A13" s="7">
        <v>11</v>
      </c>
      <c r="B13" s="29" t="s">
        <v>40</v>
      </c>
      <c r="C13" s="82" t="s">
        <v>41</v>
      </c>
      <c r="D13" s="86" t="s">
        <v>31</v>
      </c>
      <c r="E13" s="86" t="s">
        <v>31</v>
      </c>
      <c r="F13" s="85" t="s">
        <v>36</v>
      </c>
      <c r="G13" s="85" t="s">
        <v>36</v>
      </c>
      <c r="H13" s="86" t="s">
        <v>31</v>
      </c>
      <c r="I13" s="86" t="s">
        <v>31</v>
      </c>
      <c r="J13" s="86" t="s">
        <v>31</v>
      </c>
      <c r="K13" s="86" t="s">
        <v>31</v>
      </c>
      <c r="L13" s="86" t="s">
        <v>31</v>
      </c>
      <c r="M13" s="86" t="s">
        <v>31</v>
      </c>
      <c r="N13" s="86" t="s">
        <v>31</v>
      </c>
      <c r="O13" s="86" t="s">
        <v>31</v>
      </c>
      <c r="P13" s="29" t="s">
        <v>40</v>
      </c>
      <c r="Q13" s="84" t="s">
        <v>47</v>
      </c>
      <c r="R13" s="84" t="s">
        <v>47</v>
      </c>
      <c r="S13" s="84" t="s">
        <v>47</v>
      </c>
      <c r="T13" s="29" t="s">
        <v>40</v>
      </c>
      <c r="U13" s="29" t="s">
        <v>40</v>
      </c>
      <c r="W13" s="12" t="s">
        <v>132</v>
      </c>
      <c r="X13" s="4" t="s">
        <v>142</v>
      </c>
      <c r="Y13" s="98"/>
      <c r="Z13" s="14" t="s">
        <v>143</v>
      </c>
      <c r="AA13" s="15">
        <f t="shared" si="0"/>
        <v>18</v>
      </c>
    </row>
    <row r="14" spans="1:27" ht="19.5" customHeight="1" x14ac:dyDescent="0.35">
      <c r="A14" s="7">
        <v>12</v>
      </c>
      <c r="B14" s="29" t="s">
        <v>40</v>
      </c>
      <c r="C14" s="82" t="s">
        <v>41</v>
      </c>
      <c r="D14" s="86" t="s">
        <v>31</v>
      </c>
      <c r="E14" s="86" t="s">
        <v>31</v>
      </c>
      <c r="F14" s="86" t="s">
        <v>31</v>
      </c>
      <c r="G14" s="86" t="s">
        <v>31</v>
      </c>
      <c r="H14" s="87" t="s">
        <v>132</v>
      </c>
      <c r="I14" s="87" t="s">
        <v>132</v>
      </c>
      <c r="J14" s="86" t="s">
        <v>31</v>
      </c>
      <c r="K14" s="88" t="s">
        <v>44</v>
      </c>
      <c r="L14" s="88" t="s">
        <v>44</v>
      </c>
      <c r="M14" s="88" t="s">
        <v>44</v>
      </c>
      <c r="N14" s="88" t="s">
        <v>44</v>
      </c>
      <c r="O14" s="88" t="s">
        <v>44</v>
      </c>
      <c r="P14" s="86" t="s">
        <v>31</v>
      </c>
      <c r="Q14" s="86" t="s">
        <v>31</v>
      </c>
      <c r="R14" s="86" t="s">
        <v>31</v>
      </c>
      <c r="S14" s="86" t="s">
        <v>31</v>
      </c>
      <c r="T14" s="86" t="s">
        <v>31</v>
      </c>
      <c r="U14" s="29" t="s">
        <v>40</v>
      </c>
      <c r="W14" s="12" t="s">
        <v>45</v>
      </c>
      <c r="X14" s="4" t="s">
        <v>144</v>
      </c>
      <c r="Y14" s="99"/>
      <c r="Z14" s="14" t="s">
        <v>145</v>
      </c>
      <c r="AA14" s="15">
        <f t="shared" si="0"/>
        <v>11</v>
      </c>
    </row>
    <row r="15" spans="1:27" ht="19.5" customHeight="1" x14ac:dyDescent="0.35">
      <c r="A15" s="7">
        <v>13</v>
      </c>
      <c r="B15" s="29" t="s">
        <v>40</v>
      </c>
      <c r="C15" s="82" t="s">
        <v>41</v>
      </c>
      <c r="D15" s="86" t="s">
        <v>31</v>
      </c>
      <c r="E15" s="90" t="s">
        <v>45</v>
      </c>
      <c r="F15" s="90" t="s">
        <v>45</v>
      </c>
      <c r="G15" s="90" t="s">
        <v>45</v>
      </c>
      <c r="H15" s="86" t="s">
        <v>31</v>
      </c>
      <c r="I15" s="11" t="s">
        <v>55</v>
      </c>
      <c r="J15" s="86" t="s">
        <v>31</v>
      </c>
      <c r="K15" s="83" t="s">
        <v>60</v>
      </c>
      <c r="L15" s="83" t="s">
        <v>60</v>
      </c>
      <c r="M15" s="86" t="s">
        <v>31</v>
      </c>
      <c r="N15" s="94" t="s">
        <v>43</v>
      </c>
      <c r="O15" s="94" t="s">
        <v>43</v>
      </c>
      <c r="P15" s="94" t="s">
        <v>43</v>
      </c>
      <c r="Q15" s="94" t="s">
        <v>43</v>
      </c>
      <c r="R15" s="86" t="s">
        <v>31</v>
      </c>
      <c r="S15" s="86" t="s">
        <v>31</v>
      </c>
      <c r="T15" s="86" t="s">
        <v>31</v>
      </c>
      <c r="U15" s="29" t="s">
        <v>40</v>
      </c>
      <c r="W15" s="12" t="s">
        <v>49</v>
      </c>
      <c r="X15" s="4" t="s">
        <v>146</v>
      </c>
      <c r="Y15" s="100"/>
      <c r="Z15" s="14" t="s">
        <v>147</v>
      </c>
      <c r="AA15" s="15">
        <f t="shared" si="0"/>
        <v>29</v>
      </c>
    </row>
    <row r="16" spans="1:27" ht="19.5" customHeight="1" x14ac:dyDescent="0.35">
      <c r="A16" s="7">
        <v>14</v>
      </c>
      <c r="B16" s="29" t="s">
        <v>40</v>
      </c>
      <c r="C16" s="82" t="s">
        <v>41</v>
      </c>
      <c r="D16" s="85" t="s">
        <v>36</v>
      </c>
      <c r="E16" s="11" t="s">
        <v>55</v>
      </c>
      <c r="F16" s="86" t="s">
        <v>31</v>
      </c>
      <c r="G16" s="11" t="s">
        <v>55</v>
      </c>
      <c r="H16" s="11" t="s">
        <v>55</v>
      </c>
      <c r="I16" s="11" t="s">
        <v>55</v>
      </c>
      <c r="J16" s="11" t="s">
        <v>55</v>
      </c>
      <c r="K16" s="86" t="s">
        <v>31</v>
      </c>
      <c r="L16" s="86" t="s">
        <v>31</v>
      </c>
      <c r="M16" s="86" t="s">
        <v>31</v>
      </c>
      <c r="N16" s="86" t="s">
        <v>31</v>
      </c>
      <c r="O16" s="86" t="s">
        <v>31</v>
      </c>
      <c r="P16" s="86" t="s">
        <v>31</v>
      </c>
      <c r="Q16" s="86" t="s">
        <v>31</v>
      </c>
      <c r="R16" s="86" t="s">
        <v>31</v>
      </c>
      <c r="S16" s="86" t="s">
        <v>31</v>
      </c>
      <c r="T16" s="86" t="s">
        <v>31</v>
      </c>
      <c r="U16" s="29" t="s">
        <v>40</v>
      </c>
      <c r="X16" s="24" t="s">
        <v>71</v>
      </c>
      <c r="AA16" s="12">
        <f>SUM(AA4:AA15)</f>
        <v>400</v>
      </c>
    </row>
    <row r="17" spans="1:27" ht="19.5" customHeight="1" x14ac:dyDescent="0.35">
      <c r="A17" s="7">
        <v>15</v>
      </c>
      <c r="B17" s="29" t="s">
        <v>40</v>
      </c>
      <c r="C17" s="29" t="s">
        <v>40</v>
      </c>
      <c r="D17" s="29" t="s">
        <v>40</v>
      </c>
      <c r="E17" s="29" t="s">
        <v>40</v>
      </c>
      <c r="F17" s="29" t="s">
        <v>40</v>
      </c>
      <c r="G17" s="29" t="s">
        <v>40</v>
      </c>
      <c r="H17" s="29" t="s">
        <v>40</v>
      </c>
      <c r="I17" s="29" t="s">
        <v>40</v>
      </c>
      <c r="J17" s="29" t="s">
        <v>40</v>
      </c>
      <c r="K17" s="29" t="s">
        <v>40</v>
      </c>
      <c r="L17" s="29" t="s">
        <v>40</v>
      </c>
      <c r="M17" s="29" t="s">
        <v>40</v>
      </c>
      <c r="N17" s="29" t="s">
        <v>40</v>
      </c>
      <c r="O17" s="29" t="s">
        <v>40</v>
      </c>
      <c r="P17" s="29" t="s">
        <v>40</v>
      </c>
      <c r="Q17" s="29" t="s">
        <v>40</v>
      </c>
      <c r="R17" s="29" t="s">
        <v>40</v>
      </c>
      <c r="S17" s="85" t="s">
        <v>36</v>
      </c>
      <c r="T17" s="29" t="s">
        <v>40</v>
      </c>
      <c r="U17" s="29" t="s">
        <v>40</v>
      </c>
      <c r="X17" s="24" t="s">
        <v>72</v>
      </c>
      <c r="AA17" s="12">
        <f>COUNTBLANK($B$3:$U$22)</f>
        <v>0</v>
      </c>
    </row>
    <row r="18" spans="1:27" ht="19.5" customHeight="1" x14ac:dyDescent="0.35">
      <c r="A18" s="7">
        <v>16</v>
      </c>
      <c r="B18" s="82" t="s">
        <v>41</v>
      </c>
      <c r="C18" s="85" t="s">
        <v>36</v>
      </c>
      <c r="D18" s="94" t="s">
        <v>43</v>
      </c>
      <c r="E18" s="85" t="s">
        <v>36</v>
      </c>
      <c r="F18" s="82" t="s">
        <v>41</v>
      </c>
      <c r="G18" s="82" t="s">
        <v>41</v>
      </c>
      <c r="H18" s="82" t="s">
        <v>41</v>
      </c>
      <c r="I18" s="82" t="s">
        <v>41</v>
      </c>
      <c r="J18" s="82" t="s">
        <v>41</v>
      </c>
      <c r="K18" s="29" t="s">
        <v>40</v>
      </c>
      <c r="L18" s="29" t="s">
        <v>40</v>
      </c>
      <c r="M18" s="82" t="s">
        <v>41</v>
      </c>
      <c r="N18" s="82" t="s">
        <v>41</v>
      </c>
      <c r="O18" s="82" t="s">
        <v>41</v>
      </c>
      <c r="P18" s="82" t="s">
        <v>41</v>
      </c>
      <c r="Q18" s="11" t="s">
        <v>55</v>
      </c>
      <c r="R18" s="82" t="s">
        <v>41</v>
      </c>
      <c r="S18" s="11" t="s">
        <v>55</v>
      </c>
      <c r="T18" s="82" t="s">
        <v>41</v>
      </c>
      <c r="U18" s="82" t="s">
        <v>41</v>
      </c>
    </row>
    <row r="19" spans="1:27" ht="19.5" customHeight="1" x14ac:dyDescent="0.35">
      <c r="A19" s="7">
        <v>17</v>
      </c>
      <c r="B19" s="101" t="s">
        <v>49</v>
      </c>
      <c r="C19" s="94" t="s">
        <v>43</v>
      </c>
      <c r="D19" s="85" t="s">
        <v>36</v>
      </c>
      <c r="E19" s="94" t="s">
        <v>43</v>
      </c>
      <c r="F19" s="101" t="s">
        <v>49</v>
      </c>
      <c r="G19" s="101" t="s">
        <v>49</v>
      </c>
      <c r="H19" s="101" t="s">
        <v>49</v>
      </c>
      <c r="I19" s="29" t="s">
        <v>40</v>
      </c>
      <c r="J19" s="29" t="s">
        <v>40</v>
      </c>
      <c r="K19" s="29" t="s">
        <v>40</v>
      </c>
      <c r="L19" s="29" t="s">
        <v>40</v>
      </c>
      <c r="M19" s="29" t="s">
        <v>40</v>
      </c>
      <c r="N19" s="29" t="s">
        <v>40</v>
      </c>
      <c r="O19" s="101" t="s">
        <v>49</v>
      </c>
      <c r="P19" s="101" t="s">
        <v>49</v>
      </c>
      <c r="Q19" s="84" t="s">
        <v>47</v>
      </c>
      <c r="R19" s="84" t="s">
        <v>47</v>
      </c>
      <c r="S19" s="84" t="s">
        <v>47</v>
      </c>
      <c r="T19" s="101" t="s">
        <v>49</v>
      </c>
      <c r="U19" s="101" t="s">
        <v>49</v>
      </c>
      <c r="W19" s="25" t="s">
        <v>73</v>
      </c>
    </row>
    <row r="20" spans="1:27" ht="19.5" customHeight="1" x14ac:dyDescent="0.35">
      <c r="A20" s="7">
        <v>18</v>
      </c>
      <c r="B20" s="101" t="s">
        <v>49</v>
      </c>
      <c r="C20" s="88" t="s">
        <v>44</v>
      </c>
      <c r="D20" s="88" t="s">
        <v>44</v>
      </c>
      <c r="E20" s="88" t="s">
        <v>44</v>
      </c>
      <c r="F20" s="101" t="s">
        <v>49</v>
      </c>
      <c r="G20" s="11" t="s">
        <v>55</v>
      </c>
      <c r="H20" s="29" t="s">
        <v>40</v>
      </c>
      <c r="I20" s="11" t="s">
        <v>55</v>
      </c>
      <c r="J20" s="29" t="s">
        <v>40</v>
      </c>
      <c r="K20" s="11" t="s">
        <v>55</v>
      </c>
      <c r="L20" s="29" t="s">
        <v>40</v>
      </c>
      <c r="M20" s="11" t="s">
        <v>55</v>
      </c>
      <c r="N20" s="29" t="s">
        <v>40</v>
      </c>
      <c r="O20" s="101" t="s">
        <v>49</v>
      </c>
      <c r="P20" s="11" t="s">
        <v>55</v>
      </c>
      <c r="Q20" s="84" t="s">
        <v>47</v>
      </c>
      <c r="R20" s="11" t="s">
        <v>55</v>
      </c>
      <c r="S20" s="84" t="s">
        <v>47</v>
      </c>
      <c r="T20" s="84" t="s">
        <v>47</v>
      </c>
      <c r="U20" s="101" t="s">
        <v>49</v>
      </c>
    </row>
    <row r="21" spans="1:27" ht="19.5" customHeight="1" x14ac:dyDescent="0.35">
      <c r="A21" s="7">
        <v>19</v>
      </c>
      <c r="B21" s="101" t="s">
        <v>49</v>
      </c>
      <c r="C21" s="101" t="s">
        <v>49</v>
      </c>
      <c r="D21" s="88" t="s">
        <v>44</v>
      </c>
      <c r="E21" s="101" t="s">
        <v>49</v>
      </c>
      <c r="F21" s="101" t="s">
        <v>49</v>
      </c>
      <c r="G21" s="29" t="s">
        <v>40</v>
      </c>
      <c r="H21" s="11" t="s">
        <v>55</v>
      </c>
      <c r="I21" s="29" t="s">
        <v>40</v>
      </c>
      <c r="J21" s="11" t="s">
        <v>55</v>
      </c>
      <c r="K21" s="29" t="s">
        <v>40</v>
      </c>
      <c r="L21" s="11" t="s">
        <v>55</v>
      </c>
      <c r="M21" s="29" t="s">
        <v>40</v>
      </c>
      <c r="N21" s="11" t="s">
        <v>55</v>
      </c>
      <c r="O21" s="101" t="s">
        <v>49</v>
      </c>
      <c r="P21" s="29" t="s">
        <v>40</v>
      </c>
      <c r="Q21" s="84" t="s">
        <v>47</v>
      </c>
      <c r="R21" s="84" t="s">
        <v>47</v>
      </c>
      <c r="S21" s="84" t="s">
        <v>47</v>
      </c>
      <c r="T21" s="101" t="s">
        <v>49</v>
      </c>
      <c r="U21" s="101" t="s">
        <v>49</v>
      </c>
    </row>
    <row r="22" spans="1:27" ht="19.5" customHeight="1" x14ac:dyDescent="0.35">
      <c r="A22" s="7">
        <v>20</v>
      </c>
      <c r="B22" s="101" t="s">
        <v>49</v>
      </c>
      <c r="C22" s="83" t="s">
        <v>60</v>
      </c>
      <c r="D22" s="83" t="s">
        <v>60</v>
      </c>
      <c r="E22" s="83" t="s">
        <v>60</v>
      </c>
      <c r="F22" s="83" t="s">
        <v>60</v>
      </c>
      <c r="G22" s="101" t="s">
        <v>49</v>
      </c>
      <c r="H22" s="101" t="s">
        <v>49</v>
      </c>
      <c r="I22" s="101" t="s">
        <v>49</v>
      </c>
      <c r="J22" s="101" t="s">
        <v>49</v>
      </c>
      <c r="K22" s="29" t="s">
        <v>40</v>
      </c>
      <c r="L22" s="29" t="s">
        <v>40</v>
      </c>
      <c r="M22" s="101" t="s">
        <v>49</v>
      </c>
      <c r="N22" s="101" t="s">
        <v>49</v>
      </c>
      <c r="O22" s="87" t="s">
        <v>132</v>
      </c>
      <c r="P22" s="87" t="s">
        <v>132</v>
      </c>
      <c r="Q22" s="87" t="s">
        <v>132</v>
      </c>
      <c r="R22" s="87" t="s">
        <v>132</v>
      </c>
      <c r="S22" s="101" t="s">
        <v>49</v>
      </c>
      <c r="T22" s="101" t="s">
        <v>49</v>
      </c>
      <c r="U22" s="101" t="s">
        <v>49</v>
      </c>
    </row>
  </sheetData>
  <conditionalFormatting sqref="B3:U22">
    <cfRule type="cellIs" dxfId="47" priority="2" operator="equal">
      <formula>"K"</formula>
    </cfRule>
    <cfRule type="cellIs" dxfId="46" priority="3" operator="equal">
      <formula>"W"</formula>
    </cfRule>
    <cfRule type="cellIs" dxfId="45" priority="4" operator="equal">
      <formula>"R"</formula>
    </cfRule>
    <cfRule type="cellIs" dxfId="44" priority="5" operator="equal">
      <formula>"O"</formula>
    </cfRule>
    <cfRule type="cellIs" dxfId="43" priority="6" operator="equal">
      <formula>"Y"</formula>
    </cfRule>
    <cfRule type="cellIs" dxfId="42" priority="7" operator="equal">
      <formula>"G"</formula>
    </cfRule>
    <cfRule type="cellIs" dxfId="41" priority="8" operator="equal">
      <formula>"N"</formula>
    </cfRule>
    <cfRule type="cellIs" dxfId="40" priority="9" operator="equal">
      <formula>"L"</formula>
    </cfRule>
    <cfRule type="cellIs" dxfId="39" priority="10" operator="equal">
      <formula>"B"</formula>
    </cfRule>
    <cfRule type="cellIs" dxfId="38" priority="11" operator="equal">
      <formula>"V"</formula>
    </cfRule>
    <cfRule type="cellIs" dxfId="37" priority="12" operator="equal">
      <formula>"P"</formula>
    </cfRule>
    <cfRule type="cellIs" dxfId="36" priority="13" operator="equal">
      <formula>"T"</formula>
    </cfRule>
  </conditionalFormatting>
  <pageMargins left="0.75" right="0.75" top="1" bottom="1" header="0.511811023622047" footer="0.511811023622047"/>
  <pageSetup scale="9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22"/>
  <sheetViews>
    <sheetView tabSelected="1" view="pageLayout" zoomScaleNormal="85" workbookViewId="0">
      <selection activeCell="T37" sqref="A2:T37"/>
    </sheetView>
  </sheetViews>
  <sheetFormatPr defaultColWidth="8.6328125" defaultRowHeight="14.5" x14ac:dyDescent="0.35"/>
  <cols>
    <col min="1" max="1" width="4" customWidth="1"/>
    <col min="2" max="21" width="3.6328125" customWidth="1"/>
    <col min="23" max="23" width="6" customWidth="1"/>
    <col min="24" max="24" width="16" customWidth="1"/>
    <col min="25" max="25" width="8" customWidth="1"/>
    <col min="26" max="26" width="10" customWidth="1"/>
    <col min="27" max="27" width="8" customWidth="1"/>
  </cols>
  <sheetData>
    <row r="1" spans="1:27" ht="18" x14ac:dyDescent="0.4">
      <c r="A1" s="1" t="s">
        <v>148</v>
      </c>
      <c r="W1" s="2" t="s">
        <v>149</v>
      </c>
    </row>
    <row r="2" spans="1:27" x14ac:dyDescent="0.35"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</row>
    <row r="3" spans="1:27" ht="19.5" customHeight="1" x14ac:dyDescent="0.35">
      <c r="A3" s="7">
        <v>1</v>
      </c>
      <c r="B3" s="82" t="s">
        <v>41</v>
      </c>
      <c r="C3" s="82" t="s">
        <v>41</v>
      </c>
      <c r="D3" s="82" t="s">
        <v>41</v>
      </c>
      <c r="E3" s="82" t="s">
        <v>41</v>
      </c>
      <c r="F3" s="82" t="s">
        <v>41</v>
      </c>
      <c r="G3" s="82" t="s">
        <v>41</v>
      </c>
      <c r="H3" s="82" t="s">
        <v>41</v>
      </c>
      <c r="I3" s="82" t="s">
        <v>41</v>
      </c>
      <c r="J3" s="82" t="s">
        <v>41</v>
      </c>
      <c r="K3" s="82" t="s">
        <v>41</v>
      </c>
      <c r="L3" s="82" t="s">
        <v>41</v>
      </c>
      <c r="M3" s="82" t="s">
        <v>41</v>
      </c>
      <c r="N3" s="29" t="s">
        <v>40</v>
      </c>
      <c r="O3" s="82" t="s">
        <v>41</v>
      </c>
      <c r="P3" s="29" t="s">
        <v>40</v>
      </c>
      <c r="Q3" s="82" t="s">
        <v>41</v>
      </c>
      <c r="R3" s="88" t="s">
        <v>44</v>
      </c>
      <c r="S3" s="83" t="s">
        <v>60</v>
      </c>
      <c r="T3" s="83" t="s">
        <v>60</v>
      </c>
      <c r="U3" s="83" t="s">
        <v>60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54</v>
      </c>
    </row>
    <row r="4" spans="1:27" ht="19.5" customHeight="1" x14ac:dyDescent="0.35">
      <c r="A4" s="7">
        <v>2</v>
      </c>
      <c r="B4" s="82" t="s">
        <v>41</v>
      </c>
      <c r="C4" s="82" t="s">
        <v>41</v>
      </c>
      <c r="D4" s="29" t="s">
        <v>40</v>
      </c>
      <c r="E4" s="82" t="s">
        <v>41</v>
      </c>
      <c r="F4" s="29" t="s">
        <v>40</v>
      </c>
      <c r="G4" s="82" t="s">
        <v>41</v>
      </c>
      <c r="H4" s="82" t="s">
        <v>41</v>
      </c>
      <c r="I4" s="11" t="s">
        <v>55</v>
      </c>
      <c r="J4" s="11" t="s">
        <v>55</v>
      </c>
      <c r="K4" s="11" t="s">
        <v>55</v>
      </c>
      <c r="L4" s="11" t="s">
        <v>55</v>
      </c>
      <c r="M4" s="11" t="s">
        <v>55</v>
      </c>
      <c r="N4" s="82" t="s">
        <v>41</v>
      </c>
      <c r="O4" s="29" t="s">
        <v>40</v>
      </c>
      <c r="P4" s="82" t="s">
        <v>41</v>
      </c>
      <c r="Q4" s="82" t="s">
        <v>41</v>
      </c>
      <c r="R4" s="82" t="s">
        <v>41</v>
      </c>
      <c r="S4" s="82" t="s">
        <v>41</v>
      </c>
      <c r="T4" s="83" t="s">
        <v>60</v>
      </c>
      <c r="U4" s="83" t="s">
        <v>60</v>
      </c>
      <c r="W4" s="12" t="s">
        <v>40</v>
      </c>
      <c r="X4" s="4" t="s">
        <v>102</v>
      </c>
      <c r="Y4" s="54"/>
      <c r="Z4" s="14" t="s">
        <v>103</v>
      </c>
      <c r="AA4" s="15">
        <f t="shared" ref="AA4:AA15" si="0">COUNTIF($B$3:$U$22,W4)</f>
        <v>72</v>
      </c>
    </row>
    <row r="5" spans="1:27" ht="19.5" customHeight="1" x14ac:dyDescent="0.35">
      <c r="A5" s="7">
        <v>3</v>
      </c>
      <c r="B5" s="82" t="s">
        <v>41</v>
      </c>
      <c r="C5" s="82" t="s">
        <v>41</v>
      </c>
      <c r="D5" s="82" t="s">
        <v>41</v>
      </c>
      <c r="E5" s="29" t="s">
        <v>40</v>
      </c>
      <c r="F5" s="82" t="s">
        <v>41</v>
      </c>
      <c r="G5" s="11" t="s">
        <v>55</v>
      </c>
      <c r="H5" s="11" t="s">
        <v>55</v>
      </c>
      <c r="I5" s="11" t="s">
        <v>55</v>
      </c>
      <c r="J5" s="11" t="s">
        <v>55</v>
      </c>
      <c r="K5" s="11" t="s">
        <v>55</v>
      </c>
      <c r="L5" s="11" t="s">
        <v>55</v>
      </c>
      <c r="M5" s="11" t="s">
        <v>55</v>
      </c>
      <c r="N5" s="11" t="s">
        <v>55</v>
      </c>
      <c r="O5" s="11" t="s">
        <v>55</v>
      </c>
      <c r="P5" s="82" t="s">
        <v>41</v>
      </c>
      <c r="Q5" s="82" t="s">
        <v>41</v>
      </c>
      <c r="R5" s="82" t="s">
        <v>41</v>
      </c>
      <c r="S5" s="88" t="s">
        <v>44</v>
      </c>
      <c r="T5" s="82" t="s">
        <v>41</v>
      </c>
      <c r="U5" s="88" t="s">
        <v>44</v>
      </c>
      <c r="W5" s="12" t="s">
        <v>55</v>
      </c>
      <c r="X5" s="4" t="s">
        <v>58</v>
      </c>
      <c r="Y5" s="16"/>
      <c r="Z5" s="14" t="s">
        <v>59</v>
      </c>
      <c r="AA5" s="15">
        <f t="shared" si="0"/>
        <v>96</v>
      </c>
    </row>
    <row r="6" spans="1:27" ht="19.5" customHeight="1" x14ac:dyDescent="0.35">
      <c r="A6" s="7">
        <v>4</v>
      </c>
      <c r="B6" s="82" t="s">
        <v>41</v>
      </c>
      <c r="C6" s="82" t="s">
        <v>41</v>
      </c>
      <c r="D6" s="82" t="s">
        <v>41</v>
      </c>
      <c r="E6" s="11" t="s">
        <v>55</v>
      </c>
      <c r="F6" s="11" t="s">
        <v>55</v>
      </c>
      <c r="G6" s="11" t="s">
        <v>55</v>
      </c>
      <c r="H6" s="11" t="s">
        <v>55</v>
      </c>
      <c r="I6" s="11" t="s">
        <v>55</v>
      </c>
      <c r="J6" s="11" t="s">
        <v>55</v>
      </c>
      <c r="K6" s="86" t="s">
        <v>31</v>
      </c>
      <c r="L6" s="86" t="s">
        <v>31</v>
      </c>
      <c r="M6" s="11" t="s">
        <v>55</v>
      </c>
      <c r="N6" s="11" t="s">
        <v>55</v>
      </c>
      <c r="O6" s="11" t="s">
        <v>55</v>
      </c>
      <c r="P6" s="11" t="s">
        <v>55</v>
      </c>
      <c r="Q6" s="11" t="s">
        <v>55</v>
      </c>
      <c r="R6" s="82" t="s">
        <v>41</v>
      </c>
      <c r="S6" s="82" t="s">
        <v>41</v>
      </c>
      <c r="T6" s="82" t="s">
        <v>41</v>
      </c>
      <c r="U6" s="82" t="s">
        <v>41</v>
      </c>
      <c r="W6" s="12" t="s">
        <v>47</v>
      </c>
      <c r="X6" s="4" t="s">
        <v>61</v>
      </c>
      <c r="Y6" s="89"/>
      <c r="Z6" s="14" t="s">
        <v>133</v>
      </c>
      <c r="AA6" s="15">
        <f t="shared" si="0"/>
        <v>7</v>
      </c>
    </row>
    <row r="7" spans="1:27" ht="19.5" customHeight="1" x14ac:dyDescent="0.35">
      <c r="A7" s="7">
        <v>5</v>
      </c>
      <c r="B7" s="82" t="s">
        <v>41</v>
      </c>
      <c r="C7" s="82" t="s">
        <v>41</v>
      </c>
      <c r="D7" s="11" t="s">
        <v>55</v>
      </c>
      <c r="E7" s="11" t="s">
        <v>55</v>
      </c>
      <c r="F7" s="11" t="s">
        <v>55</v>
      </c>
      <c r="G7" s="11" t="s">
        <v>55</v>
      </c>
      <c r="H7" s="11" t="s">
        <v>55</v>
      </c>
      <c r="I7" s="11" t="s">
        <v>55</v>
      </c>
      <c r="J7" s="86" t="s">
        <v>31</v>
      </c>
      <c r="K7" s="86" t="s">
        <v>31</v>
      </c>
      <c r="L7" s="86" t="s">
        <v>31</v>
      </c>
      <c r="M7" s="86" t="s">
        <v>31</v>
      </c>
      <c r="N7" s="11" t="s">
        <v>55</v>
      </c>
      <c r="O7" s="11" t="s">
        <v>55</v>
      </c>
      <c r="P7" s="11" t="s">
        <v>55</v>
      </c>
      <c r="Q7" s="11" t="s">
        <v>55</v>
      </c>
      <c r="R7" s="11" t="s">
        <v>55</v>
      </c>
      <c r="S7" s="82" t="s">
        <v>41</v>
      </c>
      <c r="T7" s="82" t="s">
        <v>41</v>
      </c>
      <c r="U7" s="82" t="s">
        <v>41</v>
      </c>
      <c r="W7" s="12" t="s">
        <v>44</v>
      </c>
      <c r="X7" s="4" t="s">
        <v>86</v>
      </c>
      <c r="Y7" s="91"/>
      <c r="Z7" s="14" t="s">
        <v>134</v>
      </c>
      <c r="AA7" s="15">
        <f t="shared" si="0"/>
        <v>7</v>
      </c>
    </row>
    <row r="8" spans="1:27" ht="19.5" customHeight="1" x14ac:dyDescent="0.35">
      <c r="A8" s="7">
        <v>6</v>
      </c>
      <c r="B8" s="82" t="s">
        <v>41</v>
      </c>
      <c r="C8" s="82" t="s">
        <v>41</v>
      </c>
      <c r="D8" s="11" t="s">
        <v>55</v>
      </c>
      <c r="E8" s="11" t="s">
        <v>55</v>
      </c>
      <c r="F8" s="11" t="s">
        <v>55</v>
      </c>
      <c r="G8" s="11" t="s">
        <v>55</v>
      </c>
      <c r="H8" s="11" t="s">
        <v>55</v>
      </c>
      <c r="I8" s="86" t="s">
        <v>31</v>
      </c>
      <c r="J8" s="86" t="s">
        <v>31</v>
      </c>
      <c r="K8" s="86" t="s">
        <v>31</v>
      </c>
      <c r="L8" s="86" t="s">
        <v>31</v>
      </c>
      <c r="M8" s="86" t="s">
        <v>31</v>
      </c>
      <c r="N8" s="86" t="s">
        <v>31</v>
      </c>
      <c r="O8" s="11" t="s">
        <v>55</v>
      </c>
      <c r="P8" s="11" t="s">
        <v>55</v>
      </c>
      <c r="Q8" s="11" t="s">
        <v>55</v>
      </c>
      <c r="R8" s="11" t="s">
        <v>55</v>
      </c>
      <c r="S8" s="11" t="s">
        <v>55</v>
      </c>
      <c r="T8" s="82" t="s">
        <v>41</v>
      </c>
      <c r="U8" s="82" t="s">
        <v>41</v>
      </c>
      <c r="W8" s="12" t="s">
        <v>60</v>
      </c>
      <c r="X8" s="4" t="s">
        <v>63</v>
      </c>
      <c r="Y8" s="92"/>
      <c r="Z8" s="14" t="s">
        <v>135</v>
      </c>
      <c r="AA8" s="15">
        <f t="shared" si="0"/>
        <v>13</v>
      </c>
    </row>
    <row r="9" spans="1:27" ht="19.5" customHeight="1" x14ac:dyDescent="0.35">
      <c r="A9" s="7">
        <v>7</v>
      </c>
      <c r="B9" s="82" t="s">
        <v>41</v>
      </c>
      <c r="C9" s="82" t="s">
        <v>41</v>
      </c>
      <c r="D9" s="11" t="s">
        <v>55</v>
      </c>
      <c r="E9" s="11" t="s">
        <v>55</v>
      </c>
      <c r="F9" s="11" t="s">
        <v>55</v>
      </c>
      <c r="G9" s="11" t="s">
        <v>55</v>
      </c>
      <c r="H9" s="11" t="s">
        <v>55</v>
      </c>
      <c r="I9" s="11" t="s">
        <v>55</v>
      </c>
      <c r="J9" s="11" t="s">
        <v>55</v>
      </c>
      <c r="K9" s="86" t="s">
        <v>31</v>
      </c>
      <c r="L9" s="86" t="s">
        <v>31</v>
      </c>
      <c r="M9" s="11" t="s">
        <v>55</v>
      </c>
      <c r="N9" s="11" t="s">
        <v>55</v>
      </c>
      <c r="O9" s="11" t="s">
        <v>55</v>
      </c>
      <c r="P9" s="11" t="s">
        <v>55</v>
      </c>
      <c r="Q9" s="11" t="s">
        <v>55</v>
      </c>
      <c r="R9" s="11" t="s">
        <v>55</v>
      </c>
      <c r="S9" s="11" t="s">
        <v>55</v>
      </c>
      <c r="T9" s="82" t="s">
        <v>41</v>
      </c>
      <c r="U9" s="82" t="s">
        <v>41</v>
      </c>
      <c r="W9" s="12" t="s">
        <v>36</v>
      </c>
      <c r="X9" s="4" t="s">
        <v>98</v>
      </c>
      <c r="Y9" s="93"/>
      <c r="Z9" s="14" t="s">
        <v>136</v>
      </c>
      <c r="AA9" s="15">
        <f t="shared" si="0"/>
        <v>5</v>
      </c>
    </row>
    <row r="10" spans="1:27" ht="19.5" customHeight="1" x14ac:dyDescent="0.35">
      <c r="A10" s="7">
        <v>8</v>
      </c>
      <c r="B10" s="82" t="s">
        <v>41</v>
      </c>
      <c r="C10" s="82" t="s">
        <v>41</v>
      </c>
      <c r="D10" s="82" t="s">
        <v>41</v>
      </c>
      <c r="E10" s="11" t="s">
        <v>55</v>
      </c>
      <c r="F10" s="11" t="s">
        <v>55</v>
      </c>
      <c r="G10" s="11" t="s">
        <v>55</v>
      </c>
      <c r="H10" s="11" t="s">
        <v>55</v>
      </c>
      <c r="I10" s="11" t="s">
        <v>55</v>
      </c>
      <c r="J10" s="11" t="s">
        <v>55</v>
      </c>
      <c r="K10" s="86" t="s">
        <v>31</v>
      </c>
      <c r="L10" s="86" t="s">
        <v>31</v>
      </c>
      <c r="M10" s="11" t="s">
        <v>55</v>
      </c>
      <c r="N10" s="11" t="s">
        <v>55</v>
      </c>
      <c r="O10" s="11" t="s">
        <v>55</v>
      </c>
      <c r="P10" s="11" t="s">
        <v>55</v>
      </c>
      <c r="Q10" s="11" t="s">
        <v>55</v>
      </c>
      <c r="R10" s="11" t="s">
        <v>55</v>
      </c>
      <c r="S10" s="82" t="s">
        <v>41</v>
      </c>
      <c r="T10" s="82" t="s">
        <v>41</v>
      </c>
      <c r="U10" s="82" t="s">
        <v>41</v>
      </c>
      <c r="W10" s="12" t="s">
        <v>43</v>
      </c>
      <c r="X10" s="4" t="s">
        <v>125</v>
      </c>
      <c r="Y10" s="95"/>
      <c r="Z10" s="14" t="s">
        <v>137</v>
      </c>
      <c r="AA10" s="15">
        <f t="shared" si="0"/>
        <v>20</v>
      </c>
    </row>
    <row r="11" spans="1:27" ht="19.5" customHeight="1" x14ac:dyDescent="0.35">
      <c r="A11" s="7">
        <v>9</v>
      </c>
      <c r="B11" s="82" t="s">
        <v>41</v>
      </c>
      <c r="C11" s="82" t="s">
        <v>41</v>
      </c>
      <c r="D11" s="82" t="s">
        <v>41</v>
      </c>
      <c r="E11" s="82" t="s">
        <v>41</v>
      </c>
      <c r="F11" s="11" t="s">
        <v>55</v>
      </c>
      <c r="G11" s="11" t="s">
        <v>55</v>
      </c>
      <c r="H11" s="11" t="s">
        <v>55</v>
      </c>
      <c r="I11" s="11" t="s">
        <v>55</v>
      </c>
      <c r="J11" s="11" t="s">
        <v>55</v>
      </c>
      <c r="K11" s="11" t="s">
        <v>55</v>
      </c>
      <c r="L11" s="11" t="s">
        <v>55</v>
      </c>
      <c r="M11" s="11" t="s">
        <v>55</v>
      </c>
      <c r="N11" s="11" t="s">
        <v>55</v>
      </c>
      <c r="O11" s="11" t="s">
        <v>55</v>
      </c>
      <c r="P11" s="11" t="s">
        <v>55</v>
      </c>
      <c r="Q11" s="82" t="s">
        <v>41</v>
      </c>
      <c r="R11" s="82" t="s">
        <v>41</v>
      </c>
      <c r="S11" s="82" t="s">
        <v>41</v>
      </c>
      <c r="T11" s="82" t="s">
        <v>41</v>
      </c>
      <c r="U11" s="82" t="s">
        <v>41</v>
      </c>
      <c r="W11" s="12" t="s">
        <v>41</v>
      </c>
      <c r="X11" s="4" t="s">
        <v>138</v>
      </c>
      <c r="Y11" s="96"/>
      <c r="Z11" s="14" t="s">
        <v>139</v>
      </c>
      <c r="AA11" s="15">
        <f t="shared" si="0"/>
        <v>117</v>
      </c>
    </row>
    <row r="12" spans="1:27" ht="19.5" customHeight="1" x14ac:dyDescent="0.35">
      <c r="A12" s="7">
        <v>10</v>
      </c>
      <c r="B12" s="82" t="s">
        <v>41</v>
      </c>
      <c r="C12" s="82" t="s">
        <v>41</v>
      </c>
      <c r="D12" s="82" t="s">
        <v>41</v>
      </c>
      <c r="E12" s="82" t="s">
        <v>41</v>
      </c>
      <c r="F12" s="82" t="s">
        <v>41</v>
      </c>
      <c r="G12" s="82" t="s">
        <v>41</v>
      </c>
      <c r="H12" s="88" t="s">
        <v>44</v>
      </c>
      <c r="I12" s="82" t="s">
        <v>41</v>
      </c>
      <c r="J12" s="82" t="s">
        <v>41</v>
      </c>
      <c r="K12" s="83" t="s">
        <v>60</v>
      </c>
      <c r="L12" s="88" t="s">
        <v>44</v>
      </c>
      <c r="M12" s="82" t="s">
        <v>41</v>
      </c>
      <c r="N12" s="82" t="s">
        <v>41</v>
      </c>
      <c r="O12" s="83" t="s">
        <v>60</v>
      </c>
      <c r="P12" s="82" t="s">
        <v>41</v>
      </c>
      <c r="Q12" s="82" t="s">
        <v>41</v>
      </c>
      <c r="R12" s="82" t="s">
        <v>41</v>
      </c>
      <c r="S12" s="82" t="s">
        <v>41</v>
      </c>
      <c r="T12" s="82" t="s">
        <v>41</v>
      </c>
      <c r="U12" s="82" t="s">
        <v>41</v>
      </c>
      <c r="W12" s="12" t="s">
        <v>31</v>
      </c>
      <c r="X12" s="4" t="s">
        <v>140</v>
      </c>
      <c r="Y12" s="97"/>
      <c r="Z12" s="14" t="s">
        <v>141</v>
      </c>
      <c r="AA12" s="15">
        <f t="shared" si="0"/>
        <v>24</v>
      </c>
    </row>
    <row r="13" spans="1:27" ht="19.5" customHeight="1" x14ac:dyDescent="0.35">
      <c r="A13" s="7">
        <v>11</v>
      </c>
      <c r="B13" s="82" t="s">
        <v>41</v>
      </c>
      <c r="C13" s="82" t="s">
        <v>41</v>
      </c>
      <c r="D13" s="82" t="s">
        <v>41</v>
      </c>
      <c r="E13" s="82" t="s">
        <v>41</v>
      </c>
      <c r="F13" s="82" t="s">
        <v>41</v>
      </c>
      <c r="G13" s="82" t="s">
        <v>41</v>
      </c>
      <c r="H13" s="83" t="s">
        <v>60</v>
      </c>
      <c r="I13" s="82" t="s">
        <v>41</v>
      </c>
      <c r="J13" s="82" t="s">
        <v>41</v>
      </c>
      <c r="K13" s="88" t="s">
        <v>44</v>
      </c>
      <c r="L13" s="83" t="s">
        <v>60</v>
      </c>
      <c r="M13" s="82" t="s">
        <v>41</v>
      </c>
      <c r="N13" s="82" t="s">
        <v>41</v>
      </c>
      <c r="O13" s="88" t="s">
        <v>44</v>
      </c>
      <c r="P13" s="82" t="s">
        <v>41</v>
      </c>
      <c r="Q13" s="82" t="s">
        <v>41</v>
      </c>
      <c r="R13" s="82" t="s">
        <v>41</v>
      </c>
      <c r="S13" s="82" t="s">
        <v>41</v>
      </c>
      <c r="T13" s="82" t="s">
        <v>41</v>
      </c>
      <c r="U13" s="82" t="s">
        <v>41</v>
      </c>
      <c r="W13" s="12" t="s">
        <v>132</v>
      </c>
      <c r="X13" s="4" t="s">
        <v>142</v>
      </c>
      <c r="Y13" s="98"/>
      <c r="Z13" s="14" t="s">
        <v>143</v>
      </c>
      <c r="AA13" s="15">
        <f t="shared" si="0"/>
        <v>12</v>
      </c>
    </row>
    <row r="14" spans="1:27" ht="19.5" customHeight="1" x14ac:dyDescent="0.35">
      <c r="A14" s="7">
        <v>12</v>
      </c>
      <c r="B14" s="82" t="s">
        <v>41</v>
      </c>
      <c r="C14" s="82" t="s">
        <v>41</v>
      </c>
      <c r="D14" s="82" t="s">
        <v>41</v>
      </c>
      <c r="E14" s="82" t="s">
        <v>41</v>
      </c>
      <c r="F14" s="29" t="s">
        <v>40</v>
      </c>
      <c r="G14" s="29" t="s">
        <v>40</v>
      </c>
      <c r="H14" s="29" t="s">
        <v>40</v>
      </c>
      <c r="I14" s="29" t="s">
        <v>40</v>
      </c>
      <c r="J14" s="29" t="s">
        <v>40</v>
      </c>
      <c r="K14" s="29" t="s">
        <v>40</v>
      </c>
      <c r="L14" s="29" t="s">
        <v>40</v>
      </c>
      <c r="M14" s="29" t="s">
        <v>40</v>
      </c>
      <c r="N14" s="29" t="s">
        <v>40</v>
      </c>
      <c r="O14" s="29" t="s">
        <v>40</v>
      </c>
      <c r="P14" s="29" t="s">
        <v>40</v>
      </c>
      <c r="Q14" s="29" t="s">
        <v>40</v>
      </c>
      <c r="R14" s="82" t="s">
        <v>41</v>
      </c>
      <c r="S14" s="82" t="s">
        <v>41</v>
      </c>
      <c r="T14" s="82" t="s">
        <v>41</v>
      </c>
      <c r="U14" s="82" t="s">
        <v>41</v>
      </c>
      <c r="W14" s="12" t="s">
        <v>45</v>
      </c>
      <c r="X14" s="4" t="s">
        <v>144</v>
      </c>
      <c r="Y14" s="99"/>
      <c r="Z14" s="14" t="s">
        <v>145</v>
      </c>
      <c r="AA14" s="15">
        <f t="shared" si="0"/>
        <v>7</v>
      </c>
    </row>
    <row r="15" spans="1:27" ht="19.5" customHeight="1" x14ac:dyDescent="0.35">
      <c r="A15" s="7">
        <v>13</v>
      </c>
      <c r="B15" s="82" t="s">
        <v>41</v>
      </c>
      <c r="C15" s="82" t="s">
        <v>41</v>
      </c>
      <c r="D15" s="82" t="s">
        <v>41</v>
      </c>
      <c r="E15" s="82" t="s">
        <v>41</v>
      </c>
      <c r="F15" s="29" t="s">
        <v>40</v>
      </c>
      <c r="G15" s="85" t="s">
        <v>36</v>
      </c>
      <c r="H15" s="84" t="s">
        <v>47</v>
      </c>
      <c r="I15" s="83" t="s">
        <v>60</v>
      </c>
      <c r="J15" s="29" t="s">
        <v>40</v>
      </c>
      <c r="K15" s="11" t="s">
        <v>55</v>
      </c>
      <c r="L15" s="11" t="s">
        <v>55</v>
      </c>
      <c r="M15" s="11" t="s">
        <v>55</v>
      </c>
      <c r="N15" s="29" t="s">
        <v>40</v>
      </c>
      <c r="O15" s="86" t="s">
        <v>31</v>
      </c>
      <c r="P15" s="86" t="s">
        <v>31</v>
      </c>
      <c r="Q15" s="29" t="s">
        <v>40</v>
      </c>
      <c r="R15" s="90" t="s">
        <v>45</v>
      </c>
      <c r="S15" s="90" t="s">
        <v>45</v>
      </c>
      <c r="T15" s="90" t="s">
        <v>45</v>
      </c>
      <c r="U15" s="90" t="s">
        <v>45</v>
      </c>
      <c r="W15" s="12" t="s">
        <v>49</v>
      </c>
      <c r="X15" s="4" t="s">
        <v>146</v>
      </c>
      <c r="Y15" s="100"/>
      <c r="Z15" s="14" t="s">
        <v>147</v>
      </c>
      <c r="AA15" s="15">
        <f t="shared" si="0"/>
        <v>20</v>
      </c>
    </row>
    <row r="16" spans="1:27" ht="19.5" customHeight="1" x14ac:dyDescent="0.35">
      <c r="A16" s="7">
        <v>14</v>
      </c>
      <c r="B16" s="87" t="s">
        <v>132</v>
      </c>
      <c r="C16" s="87" t="s">
        <v>132</v>
      </c>
      <c r="D16" s="87" t="s">
        <v>132</v>
      </c>
      <c r="E16" s="87" t="s">
        <v>132</v>
      </c>
      <c r="F16" s="29" t="s">
        <v>40</v>
      </c>
      <c r="G16" s="29" t="s">
        <v>40</v>
      </c>
      <c r="H16" s="29" t="s">
        <v>40</v>
      </c>
      <c r="I16" s="29" t="s">
        <v>40</v>
      </c>
      <c r="J16" s="29" t="s">
        <v>40</v>
      </c>
      <c r="K16" s="29" t="s">
        <v>40</v>
      </c>
      <c r="L16" s="29" t="s">
        <v>40</v>
      </c>
      <c r="M16" s="29" t="s">
        <v>40</v>
      </c>
      <c r="N16" s="29" t="s">
        <v>40</v>
      </c>
      <c r="O16" s="29" t="s">
        <v>40</v>
      </c>
      <c r="P16" s="29" t="s">
        <v>40</v>
      </c>
      <c r="Q16" s="29" t="s">
        <v>40</v>
      </c>
      <c r="R16" s="82" t="s">
        <v>41</v>
      </c>
      <c r="S16" s="90" t="s">
        <v>45</v>
      </c>
      <c r="T16" s="82" t="s">
        <v>41</v>
      </c>
      <c r="U16" s="90" t="s">
        <v>45</v>
      </c>
      <c r="X16" s="24" t="s">
        <v>71</v>
      </c>
      <c r="AA16" s="12">
        <f>SUM(AA4:AA15)</f>
        <v>400</v>
      </c>
    </row>
    <row r="17" spans="1:27" ht="19.5" customHeight="1" x14ac:dyDescent="0.35">
      <c r="A17" s="7">
        <v>15</v>
      </c>
      <c r="B17" s="87" t="s">
        <v>132</v>
      </c>
      <c r="C17" s="86" t="s">
        <v>31</v>
      </c>
      <c r="D17" s="85" t="s">
        <v>36</v>
      </c>
      <c r="E17" s="87" t="s">
        <v>132</v>
      </c>
      <c r="F17" s="29" t="s">
        <v>40</v>
      </c>
      <c r="G17" s="85" t="s">
        <v>36</v>
      </c>
      <c r="H17" s="83" t="s">
        <v>60</v>
      </c>
      <c r="I17" s="85" t="s">
        <v>36</v>
      </c>
      <c r="J17" s="29" t="s">
        <v>40</v>
      </c>
      <c r="K17" s="11" t="s">
        <v>55</v>
      </c>
      <c r="L17" s="11" t="s">
        <v>55</v>
      </c>
      <c r="M17" s="11" t="s">
        <v>55</v>
      </c>
      <c r="N17" s="29" t="s">
        <v>40</v>
      </c>
      <c r="O17" s="86" t="s">
        <v>31</v>
      </c>
      <c r="P17" s="86" t="s">
        <v>31</v>
      </c>
      <c r="Q17" s="29" t="s">
        <v>40</v>
      </c>
      <c r="R17" s="82" t="s">
        <v>41</v>
      </c>
      <c r="S17" s="29" t="s">
        <v>40</v>
      </c>
      <c r="T17" s="82" t="s">
        <v>41</v>
      </c>
      <c r="U17" s="29" t="s">
        <v>40</v>
      </c>
      <c r="X17" s="24" t="s">
        <v>72</v>
      </c>
      <c r="AA17" s="12">
        <f>COUNTBLANK($B$3:$U$22)</f>
        <v>0</v>
      </c>
    </row>
    <row r="18" spans="1:27" ht="19.5" customHeight="1" x14ac:dyDescent="0.35">
      <c r="A18" s="7">
        <v>16</v>
      </c>
      <c r="B18" s="87" t="s">
        <v>132</v>
      </c>
      <c r="C18" s="90" t="s">
        <v>45</v>
      </c>
      <c r="D18" s="86" t="s">
        <v>31</v>
      </c>
      <c r="E18" s="87" t="s">
        <v>132</v>
      </c>
      <c r="F18" s="29" t="s">
        <v>40</v>
      </c>
      <c r="G18" s="29" t="s">
        <v>40</v>
      </c>
      <c r="H18" s="29" t="s">
        <v>40</v>
      </c>
      <c r="I18" s="29" t="s">
        <v>40</v>
      </c>
      <c r="J18" s="29" t="s">
        <v>40</v>
      </c>
      <c r="K18" s="29" t="s">
        <v>40</v>
      </c>
      <c r="L18" s="29" t="s">
        <v>40</v>
      </c>
      <c r="M18" s="29" t="s">
        <v>40</v>
      </c>
      <c r="N18" s="29" t="s">
        <v>40</v>
      </c>
      <c r="O18" s="29" t="s">
        <v>40</v>
      </c>
      <c r="P18" s="29" t="s">
        <v>40</v>
      </c>
      <c r="Q18" s="29" t="s">
        <v>40</v>
      </c>
      <c r="R18" s="82" t="s">
        <v>41</v>
      </c>
      <c r="S18" s="84" t="s">
        <v>47</v>
      </c>
      <c r="T18" s="84" t="s">
        <v>47</v>
      </c>
      <c r="U18" s="84" t="s">
        <v>47</v>
      </c>
    </row>
    <row r="19" spans="1:27" ht="19.5" customHeight="1" x14ac:dyDescent="0.35">
      <c r="A19" s="7">
        <v>17</v>
      </c>
      <c r="B19" s="87" t="s">
        <v>132</v>
      </c>
      <c r="C19" s="87" t="s">
        <v>132</v>
      </c>
      <c r="D19" s="87" t="s">
        <v>132</v>
      </c>
      <c r="E19" s="87" t="s">
        <v>132</v>
      </c>
      <c r="F19" s="29" t="s">
        <v>40</v>
      </c>
      <c r="G19" s="84" t="s">
        <v>47</v>
      </c>
      <c r="H19" s="85" t="s">
        <v>36</v>
      </c>
      <c r="I19" s="83" t="s">
        <v>60</v>
      </c>
      <c r="J19" s="29" t="s">
        <v>40</v>
      </c>
      <c r="K19" s="11" t="s">
        <v>55</v>
      </c>
      <c r="L19" s="11" t="s">
        <v>55</v>
      </c>
      <c r="M19" s="11" t="s">
        <v>55</v>
      </c>
      <c r="N19" s="29" t="s">
        <v>40</v>
      </c>
      <c r="O19" s="86" t="s">
        <v>31</v>
      </c>
      <c r="P19" s="86" t="s">
        <v>31</v>
      </c>
      <c r="Q19" s="29" t="s">
        <v>40</v>
      </c>
      <c r="R19" s="82" t="s">
        <v>41</v>
      </c>
      <c r="S19" s="84" t="s">
        <v>47</v>
      </c>
      <c r="T19" s="83" t="s">
        <v>60</v>
      </c>
      <c r="U19" s="84" t="s">
        <v>47</v>
      </c>
      <c r="W19" s="25" t="s">
        <v>73</v>
      </c>
    </row>
    <row r="20" spans="1:27" ht="19.5" customHeight="1" x14ac:dyDescent="0.35">
      <c r="A20" s="7">
        <v>18</v>
      </c>
      <c r="B20" s="11" t="s">
        <v>55</v>
      </c>
      <c r="C20" s="11" t="s">
        <v>55</v>
      </c>
      <c r="D20" s="11" t="s">
        <v>55</v>
      </c>
      <c r="E20" s="11" t="s">
        <v>55</v>
      </c>
      <c r="F20" s="29" t="s">
        <v>40</v>
      </c>
      <c r="G20" s="29" t="s">
        <v>40</v>
      </c>
      <c r="H20" s="29" t="s">
        <v>40</v>
      </c>
      <c r="I20" s="29" t="s">
        <v>40</v>
      </c>
      <c r="J20" s="29" t="s">
        <v>40</v>
      </c>
      <c r="K20" s="29" t="s">
        <v>40</v>
      </c>
      <c r="L20" s="29" t="s">
        <v>40</v>
      </c>
      <c r="M20" s="29" t="s">
        <v>40</v>
      </c>
      <c r="N20" s="29" t="s">
        <v>40</v>
      </c>
      <c r="O20" s="29" t="s">
        <v>40</v>
      </c>
      <c r="P20" s="29" t="s">
        <v>40</v>
      </c>
      <c r="Q20" s="29" t="s">
        <v>40</v>
      </c>
      <c r="R20" s="29" t="s">
        <v>40</v>
      </c>
      <c r="S20" s="29" t="s">
        <v>40</v>
      </c>
      <c r="T20" s="29" t="s">
        <v>40</v>
      </c>
      <c r="U20" s="29" t="s">
        <v>40</v>
      </c>
    </row>
    <row r="21" spans="1:27" ht="19.5" customHeight="1" x14ac:dyDescent="0.35">
      <c r="A21" s="7">
        <v>19</v>
      </c>
      <c r="B21" s="94" t="s">
        <v>43</v>
      </c>
      <c r="C21" s="94" t="s">
        <v>43</v>
      </c>
      <c r="D21" s="94" t="s">
        <v>43</v>
      </c>
      <c r="E21" s="94" t="s">
        <v>43</v>
      </c>
      <c r="F21" s="94" t="s">
        <v>43</v>
      </c>
      <c r="G21" s="94" t="s">
        <v>43</v>
      </c>
      <c r="H21" s="94" t="s">
        <v>43</v>
      </c>
      <c r="I21" s="94" t="s">
        <v>43</v>
      </c>
      <c r="J21" s="94" t="s">
        <v>43</v>
      </c>
      <c r="K21" s="94" t="s">
        <v>43</v>
      </c>
      <c r="L21" s="94" t="s">
        <v>43</v>
      </c>
      <c r="M21" s="94" t="s">
        <v>43</v>
      </c>
      <c r="N21" s="94" t="s">
        <v>43</v>
      </c>
      <c r="O21" s="94" t="s">
        <v>43</v>
      </c>
      <c r="P21" s="94" t="s">
        <v>43</v>
      </c>
      <c r="Q21" s="94" t="s">
        <v>43</v>
      </c>
      <c r="R21" s="94" t="s">
        <v>43</v>
      </c>
      <c r="S21" s="94" t="s">
        <v>43</v>
      </c>
      <c r="T21" s="94" t="s">
        <v>43</v>
      </c>
      <c r="U21" s="94" t="s">
        <v>43</v>
      </c>
    </row>
    <row r="22" spans="1:27" ht="19.5" customHeight="1" x14ac:dyDescent="0.35">
      <c r="A22" s="7">
        <v>20</v>
      </c>
      <c r="B22" s="101" t="s">
        <v>49</v>
      </c>
      <c r="C22" s="101" t="s">
        <v>49</v>
      </c>
      <c r="D22" s="101" t="s">
        <v>49</v>
      </c>
      <c r="E22" s="101" t="s">
        <v>49</v>
      </c>
      <c r="F22" s="101" t="s">
        <v>49</v>
      </c>
      <c r="G22" s="101" t="s">
        <v>49</v>
      </c>
      <c r="H22" s="101" t="s">
        <v>49</v>
      </c>
      <c r="I22" s="101" t="s">
        <v>49</v>
      </c>
      <c r="J22" s="101" t="s">
        <v>49</v>
      </c>
      <c r="K22" s="101" t="s">
        <v>49</v>
      </c>
      <c r="L22" s="101" t="s">
        <v>49</v>
      </c>
      <c r="M22" s="101" t="s">
        <v>49</v>
      </c>
      <c r="N22" s="101" t="s">
        <v>49</v>
      </c>
      <c r="O22" s="101" t="s">
        <v>49</v>
      </c>
      <c r="P22" s="101" t="s">
        <v>49</v>
      </c>
      <c r="Q22" s="101" t="s">
        <v>49</v>
      </c>
      <c r="R22" s="101" t="s">
        <v>49</v>
      </c>
      <c r="S22" s="101" t="s">
        <v>49</v>
      </c>
      <c r="T22" s="101" t="s">
        <v>49</v>
      </c>
      <c r="U22" s="101" t="s">
        <v>49</v>
      </c>
    </row>
  </sheetData>
  <conditionalFormatting sqref="B3:U22">
    <cfRule type="cellIs" dxfId="35" priority="2" operator="equal">
      <formula>"K"</formula>
    </cfRule>
    <cfRule type="cellIs" dxfId="34" priority="3" operator="equal">
      <formula>"W"</formula>
    </cfRule>
    <cfRule type="cellIs" dxfId="33" priority="4" operator="equal">
      <formula>"R"</formula>
    </cfRule>
    <cfRule type="cellIs" dxfId="32" priority="5" operator="equal">
      <formula>"O"</formula>
    </cfRule>
    <cfRule type="cellIs" dxfId="31" priority="6" operator="equal">
      <formula>"Y"</formula>
    </cfRule>
    <cfRule type="cellIs" dxfId="30" priority="7" operator="equal">
      <formula>"G"</formula>
    </cfRule>
    <cfRule type="cellIs" dxfId="29" priority="8" operator="equal">
      <formula>"N"</formula>
    </cfRule>
    <cfRule type="cellIs" dxfId="28" priority="9" operator="equal">
      <formula>"L"</formula>
    </cfRule>
    <cfRule type="cellIs" dxfId="27" priority="10" operator="equal">
      <formula>"B"</formula>
    </cfRule>
    <cfRule type="cellIs" dxfId="26" priority="11" operator="equal">
      <formula>"V"</formula>
    </cfRule>
    <cfRule type="cellIs" dxfId="25" priority="12" operator="equal">
      <formula>"P"</formula>
    </cfRule>
    <cfRule type="cellIs" dxfId="24" priority="13" operator="equal">
      <formula>"T"</formula>
    </cfRule>
  </conditionalFormatting>
  <pageMargins left="0.74803149606299213" right="0.74803149606299213" top="0.98425196850393704" bottom="0.98425196850393704" header="0.51181102362204722" footer="0.51181102362204722"/>
  <pageSetup paperSize="9" scale="5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0FE8-E806-416F-A6DB-D53AFECDB3DF}">
  <sheetPr>
    <pageSetUpPr fitToPage="1"/>
  </sheetPr>
  <dimension ref="A1:AA37"/>
  <sheetViews>
    <sheetView zoomScale="40" zoomScaleNormal="40" workbookViewId="0">
      <selection activeCell="AG30" sqref="AG30"/>
    </sheetView>
  </sheetViews>
  <sheetFormatPr defaultColWidth="8.6328125" defaultRowHeight="14.5" x14ac:dyDescent="0.35"/>
  <cols>
    <col min="1" max="1" width="3.26953125" customWidth="1"/>
    <col min="2" max="26" width="3.90625" customWidth="1"/>
    <col min="27" max="27" width="3.26953125" customWidth="1"/>
  </cols>
  <sheetData>
    <row r="1" spans="1:27" ht="25.5" customHeight="1" x14ac:dyDescent="0.4">
      <c r="A1" s="146" t="s">
        <v>153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8" customHeight="1" x14ac:dyDescent="0.35">
      <c r="A2" s="147" t="s">
        <v>154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</row>
    <row r="3" spans="1:27" ht="15" thickBot="1" x14ac:dyDescent="0.4"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37</v>
      </c>
      <c r="J3" s="7" t="s">
        <v>38</v>
      </c>
      <c r="K3" s="7" t="s">
        <v>39</v>
      </c>
      <c r="L3" s="7" t="s">
        <v>40</v>
      </c>
      <c r="M3" s="7" t="s">
        <v>41</v>
      </c>
      <c r="N3" s="7" t="s">
        <v>42</v>
      </c>
      <c r="O3" s="7" t="s">
        <v>43</v>
      </c>
      <c r="P3" s="7" t="s">
        <v>44</v>
      </c>
      <c r="Q3" s="7" t="s">
        <v>45</v>
      </c>
      <c r="R3" s="7" t="s">
        <v>46</v>
      </c>
      <c r="S3" s="7" t="s">
        <v>47</v>
      </c>
      <c r="T3" s="7" t="s">
        <v>48</v>
      </c>
      <c r="U3" s="7" t="s">
        <v>49</v>
      </c>
      <c r="V3" s="7" t="s">
        <v>155</v>
      </c>
      <c r="W3" s="7" t="s">
        <v>132</v>
      </c>
      <c r="X3" s="7" t="s">
        <v>55</v>
      </c>
      <c r="Y3" s="7" t="s">
        <v>156</v>
      </c>
      <c r="Z3" s="7" t="s">
        <v>60</v>
      </c>
    </row>
    <row r="4" spans="1:27" ht="24" customHeight="1" x14ac:dyDescent="0.35">
      <c r="A4" s="7">
        <v>1</v>
      </c>
      <c r="B4" s="103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05"/>
      <c r="V4" s="105"/>
      <c r="W4" s="105"/>
      <c r="X4" s="105"/>
      <c r="Y4" s="104"/>
      <c r="Z4" s="106"/>
      <c r="AA4" s="7">
        <v>1</v>
      </c>
    </row>
    <row r="5" spans="1:27" ht="24" customHeight="1" x14ac:dyDescent="0.35">
      <c r="A5" s="7">
        <v>2</v>
      </c>
      <c r="B5" s="107"/>
      <c r="C5" s="108"/>
      <c r="D5" s="109"/>
      <c r="E5" s="110"/>
      <c r="F5" s="111"/>
      <c r="G5" s="111"/>
      <c r="H5" s="111"/>
      <c r="I5" s="110"/>
      <c r="J5" s="109"/>
      <c r="K5" s="108"/>
      <c r="L5" s="109"/>
      <c r="M5" s="110"/>
      <c r="N5" s="110"/>
      <c r="O5" s="112"/>
      <c r="P5" s="110"/>
      <c r="Q5" s="110"/>
      <c r="R5" s="110"/>
      <c r="S5" s="113"/>
      <c r="T5" s="113"/>
      <c r="U5" s="110"/>
      <c r="V5" s="110"/>
      <c r="W5" s="110"/>
      <c r="X5" s="113"/>
      <c r="Y5" s="113"/>
      <c r="Z5" s="114"/>
      <c r="AA5" s="7">
        <v>2</v>
      </c>
    </row>
    <row r="6" spans="1:27" ht="24" customHeight="1" x14ac:dyDescent="0.35">
      <c r="A6" s="7">
        <v>3</v>
      </c>
      <c r="B6" s="107"/>
      <c r="C6" s="108"/>
      <c r="D6" s="109"/>
      <c r="E6" s="115"/>
      <c r="F6" s="111"/>
      <c r="G6" s="115"/>
      <c r="H6" s="111"/>
      <c r="I6" s="115"/>
      <c r="J6" s="109"/>
      <c r="K6" s="108"/>
      <c r="L6" s="109"/>
      <c r="M6" s="110"/>
      <c r="N6" s="110"/>
      <c r="O6" s="110"/>
      <c r="P6" s="110"/>
      <c r="Q6" s="110"/>
      <c r="R6" s="113"/>
      <c r="S6" s="113"/>
      <c r="T6" s="110"/>
      <c r="U6" s="116"/>
      <c r="V6" s="116"/>
      <c r="W6" s="116"/>
      <c r="X6" s="110"/>
      <c r="Y6" s="113"/>
      <c r="Z6" s="117"/>
      <c r="AA6" s="7">
        <v>3</v>
      </c>
    </row>
    <row r="7" spans="1:27" ht="24" customHeight="1" x14ac:dyDescent="0.35">
      <c r="A7" s="7">
        <v>4</v>
      </c>
      <c r="B7" s="107"/>
      <c r="C7" s="108"/>
      <c r="D7" s="109"/>
      <c r="E7" s="110"/>
      <c r="F7" s="111"/>
      <c r="G7" s="111"/>
      <c r="H7" s="111"/>
      <c r="I7" s="110"/>
      <c r="J7" s="109"/>
      <c r="K7" s="108"/>
      <c r="L7" s="109"/>
      <c r="M7" s="110"/>
      <c r="N7" s="110"/>
      <c r="O7" s="110"/>
      <c r="P7" s="110"/>
      <c r="Q7" s="110"/>
      <c r="R7" s="110"/>
      <c r="S7" s="110"/>
      <c r="T7" s="116"/>
      <c r="U7" s="116"/>
      <c r="V7" s="110"/>
      <c r="W7" s="116"/>
      <c r="X7" s="116"/>
      <c r="Y7" s="110"/>
      <c r="Z7" s="114"/>
      <c r="AA7" s="7">
        <v>4</v>
      </c>
    </row>
    <row r="8" spans="1:27" ht="24" customHeight="1" x14ac:dyDescent="0.35">
      <c r="A8" s="7">
        <v>5</v>
      </c>
      <c r="B8" s="118"/>
      <c r="C8" s="110"/>
      <c r="D8" s="110"/>
      <c r="E8" s="110"/>
      <c r="F8" s="110"/>
      <c r="G8" s="115"/>
      <c r="H8" s="110"/>
      <c r="I8" s="110"/>
      <c r="J8" s="110"/>
      <c r="K8" s="110"/>
      <c r="L8" s="110"/>
      <c r="M8" s="108"/>
      <c r="N8" s="108"/>
      <c r="O8" s="108"/>
      <c r="P8" s="110"/>
      <c r="Q8" s="110"/>
      <c r="R8" s="110"/>
      <c r="S8" s="110"/>
      <c r="T8" s="110"/>
      <c r="U8" s="110"/>
      <c r="V8" s="119"/>
      <c r="W8" s="110"/>
      <c r="X8" s="110"/>
      <c r="Y8" s="110"/>
      <c r="Z8" s="114"/>
      <c r="AA8" s="7">
        <v>5</v>
      </c>
    </row>
    <row r="9" spans="1:27" ht="24" customHeight="1" x14ac:dyDescent="0.35">
      <c r="A9" s="7">
        <v>6</v>
      </c>
      <c r="B9" s="118"/>
      <c r="C9" s="110"/>
      <c r="D9" s="110"/>
      <c r="E9" s="110"/>
      <c r="F9" s="110"/>
      <c r="G9" s="120"/>
      <c r="H9" s="110"/>
      <c r="I9" s="110"/>
      <c r="J9" s="109"/>
      <c r="K9" s="121"/>
      <c r="L9" s="121"/>
      <c r="M9" s="121"/>
      <c r="N9" s="108"/>
      <c r="O9" s="108"/>
      <c r="P9" s="108"/>
      <c r="Q9" s="108"/>
      <c r="R9" s="109"/>
      <c r="S9" s="110"/>
      <c r="T9" s="110"/>
      <c r="U9" s="110"/>
      <c r="V9" s="110"/>
      <c r="W9" s="110"/>
      <c r="X9" s="112"/>
      <c r="Y9" s="110"/>
      <c r="Z9" s="114"/>
      <c r="AA9" s="7">
        <v>6</v>
      </c>
    </row>
    <row r="10" spans="1:27" ht="24" customHeight="1" x14ac:dyDescent="0.35">
      <c r="A10" s="7">
        <v>7</v>
      </c>
      <c r="B10" s="118"/>
      <c r="C10" s="110"/>
      <c r="D10" s="110"/>
      <c r="E10" s="110"/>
      <c r="F10" s="110"/>
      <c r="G10" s="110"/>
      <c r="H10" s="120"/>
      <c r="I10" s="121"/>
      <c r="J10" s="121"/>
      <c r="K10" s="121"/>
      <c r="L10" s="121"/>
      <c r="M10" s="122"/>
      <c r="N10" s="108"/>
      <c r="O10" s="108"/>
      <c r="P10" s="121"/>
      <c r="Q10" s="121"/>
      <c r="R10" s="121"/>
      <c r="S10" s="108"/>
      <c r="T10" s="110"/>
      <c r="U10" s="110"/>
      <c r="V10" s="110"/>
      <c r="W10" s="110"/>
      <c r="X10" s="110"/>
      <c r="Y10" s="110"/>
      <c r="Z10" s="114"/>
      <c r="AA10" s="7">
        <v>7</v>
      </c>
    </row>
    <row r="11" spans="1:27" ht="24" customHeight="1" x14ac:dyDescent="0.35">
      <c r="A11" s="7">
        <v>8</v>
      </c>
      <c r="B11" s="118"/>
      <c r="C11" s="110"/>
      <c r="D11" s="110"/>
      <c r="E11" s="110"/>
      <c r="F11" s="110"/>
      <c r="G11" s="121"/>
      <c r="H11" s="121"/>
      <c r="I11" s="121"/>
      <c r="J11" s="121"/>
      <c r="K11" s="122"/>
      <c r="L11" s="121"/>
      <c r="M11" s="108"/>
      <c r="N11" s="108"/>
      <c r="O11" s="121"/>
      <c r="P11" s="121"/>
      <c r="Q11" s="121"/>
      <c r="R11" s="121"/>
      <c r="S11" s="122"/>
      <c r="T11" s="108"/>
      <c r="U11" s="110"/>
      <c r="V11" s="110"/>
      <c r="W11" s="110"/>
      <c r="X11" s="110"/>
      <c r="Y11" s="110"/>
      <c r="Z11" s="114"/>
      <c r="AA11" s="7">
        <v>8</v>
      </c>
    </row>
    <row r="12" spans="1:27" ht="24" customHeight="1" x14ac:dyDescent="0.35">
      <c r="A12" s="7">
        <v>9</v>
      </c>
      <c r="B12" s="118"/>
      <c r="C12" s="112"/>
      <c r="D12" s="110"/>
      <c r="E12" s="110"/>
      <c r="F12" s="110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10"/>
      <c r="W12" s="110"/>
      <c r="X12" s="110"/>
      <c r="Y12" s="110"/>
      <c r="Z12" s="114"/>
      <c r="AA12" s="7">
        <v>9</v>
      </c>
    </row>
    <row r="13" spans="1:27" ht="24" customHeight="1" x14ac:dyDescent="0.35">
      <c r="A13" s="7">
        <v>10</v>
      </c>
      <c r="B13" s="118"/>
      <c r="C13" s="110"/>
      <c r="D13" s="110"/>
      <c r="E13" s="110"/>
      <c r="F13" s="110"/>
      <c r="G13" s="121"/>
      <c r="H13" s="121"/>
      <c r="I13" s="121"/>
      <c r="J13" s="122"/>
      <c r="K13" s="121"/>
      <c r="L13" s="108"/>
      <c r="M13" s="108"/>
      <c r="N13" s="108"/>
      <c r="O13" s="121"/>
      <c r="P13" s="121"/>
      <c r="Q13" s="122"/>
      <c r="R13" s="121"/>
      <c r="S13" s="121"/>
      <c r="T13" s="108"/>
      <c r="U13" s="108"/>
      <c r="V13" s="110"/>
      <c r="W13" s="110"/>
      <c r="X13" s="110"/>
      <c r="Y13" s="110"/>
      <c r="Z13" s="114"/>
      <c r="AA13" s="7">
        <v>10</v>
      </c>
    </row>
    <row r="14" spans="1:27" ht="24" customHeight="1" x14ac:dyDescent="0.35">
      <c r="A14" s="7">
        <v>11</v>
      </c>
      <c r="B14" s="118"/>
      <c r="C14" s="110"/>
      <c r="D14" s="110"/>
      <c r="E14" s="110"/>
      <c r="F14" s="108"/>
      <c r="G14" s="121"/>
      <c r="H14" s="121"/>
      <c r="I14" s="121"/>
      <c r="J14" s="121"/>
      <c r="K14" s="108"/>
      <c r="L14" s="108"/>
      <c r="M14" s="108"/>
      <c r="N14" s="108"/>
      <c r="O14" s="121"/>
      <c r="P14" s="121"/>
      <c r="Q14" s="121"/>
      <c r="R14" s="121"/>
      <c r="S14" s="121"/>
      <c r="T14" s="121"/>
      <c r="U14" s="108"/>
      <c r="V14" s="108"/>
      <c r="W14" s="110"/>
      <c r="X14" s="110"/>
      <c r="Y14" s="110"/>
      <c r="Z14" s="114"/>
      <c r="AA14" s="7">
        <v>11</v>
      </c>
    </row>
    <row r="15" spans="1:27" ht="24" customHeight="1" x14ac:dyDescent="0.35">
      <c r="A15" s="7">
        <v>12</v>
      </c>
      <c r="B15" s="118"/>
      <c r="C15" s="110"/>
      <c r="D15" s="110"/>
      <c r="E15" s="110"/>
      <c r="F15" s="108"/>
      <c r="G15" s="108"/>
      <c r="H15" s="121"/>
      <c r="I15" s="121"/>
      <c r="J15" s="122"/>
      <c r="K15" s="108"/>
      <c r="L15" s="108"/>
      <c r="M15" s="108"/>
      <c r="N15" s="108"/>
      <c r="O15" s="108"/>
      <c r="P15" s="121"/>
      <c r="Q15" s="121"/>
      <c r="R15" s="121"/>
      <c r="S15" s="122"/>
      <c r="T15" s="121"/>
      <c r="U15" s="108"/>
      <c r="V15" s="108"/>
      <c r="W15" s="110"/>
      <c r="X15" s="110"/>
      <c r="Y15" s="110"/>
      <c r="Z15" s="114"/>
      <c r="AA15" s="7">
        <v>12</v>
      </c>
    </row>
    <row r="16" spans="1:27" ht="24" customHeight="1" x14ac:dyDescent="0.35">
      <c r="A16" s="7">
        <v>13</v>
      </c>
      <c r="B16" s="118"/>
      <c r="C16" s="110"/>
      <c r="D16" s="110"/>
      <c r="E16" s="110"/>
      <c r="F16" s="108"/>
      <c r="G16" s="108"/>
      <c r="H16" s="121"/>
      <c r="I16" s="121"/>
      <c r="J16" s="109"/>
      <c r="K16" s="108"/>
      <c r="L16" s="108"/>
      <c r="M16" s="108"/>
      <c r="N16" s="108"/>
      <c r="O16" s="108"/>
      <c r="P16" s="108"/>
      <c r="Q16" s="121"/>
      <c r="R16" s="121"/>
      <c r="S16" s="121"/>
      <c r="T16" s="108"/>
      <c r="U16" s="108"/>
      <c r="V16" s="108"/>
      <c r="W16" s="110"/>
      <c r="X16" s="110"/>
      <c r="Y16" s="110"/>
      <c r="Z16" s="114"/>
      <c r="AA16" s="7">
        <v>13</v>
      </c>
    </row>
    <row r="17" spans="1:27" ht="24" customHeight="1" x14ac:dyDescent="0.35">
      <c r="A17" s="7">
        <v>14</v>
      </c>
      <c r="B17" s="123"/>
      <c r="C17" s="110"/>
      <c r="D17" s="110"/>
      <c r="E17" s="110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10"/>
      <c r="X17" s="110"/>
      <c r="Y17" s="110"/>
      <c r="Z17" s="114"/>
      <c r="AA17" s="7">
        <v>14</v>
      </c>
    </row>
    <row r="18" spans="1:27" ht="24" customHeight="1" x14ac:dyDescent="0.35">
      <c r="A18" s="7">
        <v>15</v>
      </c>
      <c r="B18" s="118"/>
      <c r="C18" s="110"/>
      <c r="D18" s="110"/>
      <c r="E18" s="110"/>
      <c r="F18" s="108"/>
      <c r="G18" s="108"/>
      <c r="H18" s="108"/>
      <c r="I18" s="108"/>
      <c r="J18" s="121"/>
      <c r="K18" s="121"/>
      <c r="L18" s="108"/>
      <c r="M18" s="108"/>
      <c r="N18" s="108"/>
      <c r="O18" s="108"/>
      <c r="P18" s="108"/>
      <c r="Q18" s="121"/>
      <c r="R18" s="121"/>
      <c r="S18" s="121"/>
      <c r="T18" s="108"/>
      <c r="U18" s="108"/>
      <c r="V18" s="108"/>
      <c r="W18" s="110"/>
      <c r="X18" s="110"/>
      <c r="Y18" s="110"/>
      <c r="Z18" s="114"/>
      <c r="AA18" s="7">
        <v>15</v>
      </c>
    </row>
    <row r="19" spans="1:27" ht="24" customHeight="1" x14ac:dyDescent="0.35">
      <c r="A19" s="7">
        <v>16</v>
      </c>
      <c r="B19" s="118"/>
      <c r="C19" s="110"/>
      <c r="D19" s="110"/>
      <c r="E19" s="110"/>
      <c r="F19" s="108"/>
      <c r="G19" s="108"/>
      <c r="H19" s="108"/>
      <c r="I19" s="121"/>
      <c r="J19" s="121"/>
      <c r="K19" s="121"/>
      <c r="L19" s="122"/>
      <c r="M19" s="108"/>
      <c r="N19" s="108"/>
      <c r="O19" s="108"/>
      <c r="P19" s="108"/>
      <c r="Q19" s="121"/>
      <c r="R19" s="122"/>
      <c r="S19" s="121"/>
      <c r="T19" s="121"/>
      <c r="U19" s="108"/>
      <c r="V19" s="108"/>
      <c r="W19" s="110"/>
      <c r="X19" s="110"/>
      <c r="Y19" s="110"/>
      <c r="Z19" s="114"/>
      <c r="AA19" s="7">
        <v>16</v>
      </c>
    </row>
    <row r="20" spans="1:27" ht="24" customHeight="1" x14ac:dyDescent="0.35">
      <c r="A20" s="7">
        <v>17</v>
      </c>
      <c r="B20" s="118"/>
      <c r="C20" s="110"/>
      <c r="D20" s="110"/>
      <c r="E20" s="110"/>
      <c r="F20" s="110"/>
      <c r="G20" s="108"/>
      <c r="H20" s="108"/>
      <c r="I20" s="108"/>
      <c r="J20" s="121"/>
      <c r="K20" s="122"/>
      <c r="L20" s="121"/>
      <c r="M20" s="108"/>
      <c r="N20" s="108"/>
      <c r="O20" s="108"/>
      <c r="P20" s="108"/>
      <c r="Q20" s="121"/>
      <c r="R20" s="121"/>
      <c r="S20" s="108"/>
      <c r="T20" s="108"/>
      <c r="U20" s="108"/>
      <c r="V20" s="110"/>
      <c r="W20" s="110"/>
      <c r="X20" s="110"/>
      <c r="Y20" s="112"/>
      <c r="Z20" s="114"/>
      <c r="AA20" s="7">
        <v>17</v>
      </c>
    </row>
    <row r="21" spans="1:27" ht="24" customHeight="1" x14ac:dyDescent="0.35">
      <c r="A21" s="7">
        <v>18</v>
      </c>
      <c r="B21" s="118"/>
      <c r="C21" s="110"/>
      <c r="D21" s="110"/>
      <c r="E21" s="110"/>
      <c r="F21" s="110"/>
      <c r="G21" s="108"/>
      <c r="H21" s="108"/>
      <c r="I21" s="108"/>
      <c r="J21" s="109"/>
      <c r="K21" s="121"/>
      <c r="L21" s="121"/>
      <c r="M21" s="108"/>
      <c r="N21" s="108"/>
      <c r="O21" s="108"/>
      <c r="P21" s="108"/>
      <c r="Q21" s="108"/>
      <c r="R21" s="109"/>
      <c r="S21" s="108"/>
      <c r="T21" s="108"/>
      <c r="U21" s="108"/>
      <c r="V21" s="110"/>
      <c r="W21" s="110"/>
      <c r="X21" s="110"/>
      <c r="Y21" s="110"/>
      <c r="Z21" s="114"/>
      <c r="AA21" s="7">
        <v>18</v>
      </c>
    </row>
    <row r="22" spans="1:27" ht="24" customHeight="1" x14ac:dyDescent="0.35">
      <c r="A22" s="7">
        <v>19</v>
      </c>
      <c r="B22" s="124"/>
      <c r="C22" s="115"/>
      <c r="D22" s="115"/>
      <c r="E22" s="115"/>
      <c r="F22" s="115"/>
      <c r="G22" s="115"/>
      <c r="H22" s="115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10"/>
      <c r="V22" s="110"/>
      <c r="W22" s="110"/>
      <c r="X22" s="110"/>
      <c r="Y22" s="110"/>
      <c r="Z22" s="114"/>
      <c r="AA22" s="7">
        <v>19</v>
      </c>
    </row>
    <row r="23" spans="1:27" ht="24" customHeight="1" x14ac:dyDescent="0.35">
      <c r="A23" s="7">
        <v>20</v>
      </c>
      <c r="B23" s="124"/>
      <c r="C23" s="109"/>
      <c r="D23" s="109"/>
      <c r="E23" s="109"/>
      <c r="F23" s="109"/>
      <c r="G23" s="109"/>
      <c r="H23" s="115"/>
      <c r="I23" s="108"/>
      <c r="J23" s="109"/>
      <c r="K23" s="108"/>
      <c r="L23" s="108"/>
      <c r="M23" s="122"/>
      <c r="N23" s="122"/>
      <c r="O23" s="122"/>
      <c r="P23" s="108"/>
      <c r="Q23" s="108"/>
      <c r="R23" s="109"/>
      <c r="S23" s="108"/>
      <c r="T23" s="110"/>
      <c r="U23" s="120"/>
      <c r="V23" s="120"/>
      <c r="W23" s="120"/>
      <c r="X23" s="120"/>
      <c r="Y23" s="120"/>
      <c r="Z23" s="114"/>
      <c r="AA23" s="7">
        <v>20</v>
      </c>
    </row>
    <row r="24" spans="1:27" ht="24" customHeight="1" x14ac:dyDescent="0.35">
      <c r="A24" s="7">
        <v>21</v>
      </c>
      <c r="B24" s="124"/>
      <c r="C24" s="109"/>
      <c r="D24" s="120"/>
      <c r="E24" s="120"/>
      <c r="F24" s="109"/>
      <c r="G24" s="109"/>
      <c r="H24" s="115"/>
      <c r="I24" s="110"/>
      <c r="J24" s="109"/>
      <c r="K24" s="108"/>
      <c r="L24" s="108"/>
      <c r="M24" s="122"/>
      <c r="N24" s="122"/>
      <c r="O24" s="108"/>
      <c r="P24" s="108"/>
      <c r="Q24" s="108"/>
      <c r="R24" s="109"/>
      <c r="S24" s="110"/>
      <c r="T24" s="120"/>
      <c r="U24" s="120"/>
      <c r="V24" s="120"/>
      <c r="W24" s="120"/>
      <c r="X24" s="120"/>
      <c r="Y24" s="120"/>
      <c r="Z24" s="125"/>
      <c r="AA24" s="7">
        <v>21</v>
      </c>
    </row>
    <row r="25" spans="1:27" ht="24" customHeight="1" x14ac:dyDescent="0.35">
      <c r="A25" s="7">
        <v>22</v>
      </c>
      <c r="B25" s="124"/>
      <c r="C25" s="109"/>
      <c r="D25" s="109"/>
      <c r="E25" s="120"/>
      <c r="F25" s="120"/>
      <c r="G25" s="109"/>
      <c r="H25" s="115"/>
      <c r="I25" s="110"/>
      <c r="J25" s="110"/>
      <c r="K25" s="110"/>
      <c r="L25" s="110"/>
      <c r="M25" s="108"/>
      <c r="N25" s="108"/>
      <c r="O25" s="108"/>
      <c r="P25" s="110"/>
      <c r="Q25" s="110"/>
      <c r="R25" s="110"/>
      <c r="S25" s="110"/>
      <c r="T25" s="120"/>
      <c r="U25" s="119"/>
      <c r="V25" s="120"/>
      <c r="W25" s="119"/>
      <c r="X25" s="120"/>
      <c r="Y25" s="119"/>
      <c r="Z25" s="125"/>
      <c r="AA25" s="7">
        <v>22</v>
      </c>
    </row>
    <row r="26" spans="1:27" ht="24" customHeight="1" x14ac:dyDescent="0.35">
      <c r="A26" s="7">
        <v>23</v>
      </c>
      <c r="B26" s="124"/>
      <c r="C26" s="115"/>
      <c r="D26" s="115"/>
      <c r="E26" s="115"/>
      <c r="F26" s="115"/>
      <c r="G26" s="115"/>
      <c r="H26" s="115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20"/>
      <c r="U26" s="120"/>
      <c r="V26" s="120"/>
      <c r="W26" s="120"/>
      <c r="X26" s="120"/>
      <c r="Y26" s="120"/>
      <c r="Z26" s="125"/>
      <c r="AA26" s="7">
        <v>23</v>
      </c>
    </row>
    <row r="27" spans="1:27" ht="24" customHeight="1" x14ac:dyDescent="0.35">
      <c r="A27" s="7">
        <v>24</v>
      </c>
      <c r="B27" s="126"/>
      <c r="C27" s="111"/>
      <c r="D27" s="111"/>
      <c r="E27" s="111"/>
      <c r="F27" s="111"/>
      <c r="G27" s="111"/>
      <c r="H27" s="111"/>
      <c r="I27" s="111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20"/>
      <c r="V27" s="120"/>
      <c r="W27" s="120"/>
      <c r="X27" s="120"/>
      <c r="Y27" s="120"/>
      <c r="Z27" s="114"/>
      <c r="AA27" s="7">
        <v>24</v>
      </c>
    </row>
    <row r="28" spans="1:27" ht="24" customHeight="1" thickBot="1" x14ac:dyDescent="0.4">
      <c r="A28" s="7">
        <v>25</v>
      </c>
      <c r="B28" s="127"/>
      <c r="C28" s="128"/>
      <c r="D28" s="129"/>
      <c r="E28" s="128"/>
      <c r="F28" s="129"/>
      <c r="G28" s="128"/>
      <c r="H28" s="129"/>
      <c r="I28" s="129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1"/>
      <c r="V28" s="130"/>
      <c r="W28" s="130"/>
      <c r="X28" s="130"/>
      <c r="Y28" s="130"/>
      <c r="Z28" s="132"/>
      <c r="AA28" s="7">
        <v>25</v>
      </c>
    </row>
    <row r="29" spans="1:27" x14ac:dyDescent="0.35">
      <c r="B29" s="7" t="s">
        <v>30</v>
      </c>
      <c r="C29" s="7" t="s">
        <v>31</v>
      </c>
      <c r="D29" s="7" t="s">
        <v>32</v>
      </c>
      <c r="E29" s="7" t="s">
        <v>33</v>
      </c>
      <c r="F29" s="7" t="s">
        <v>34</v>
      </c>
      <c r="G29" s="7" t="s">
        <v>35</v>
      </c>
      <c r="H29" s="7" t="s">
        <v>36</v>
      </c>
      <c r="I29" s="7" t="s">
        <v>37</v>
      </c>
      <c r="J29" s="7" t="s">
        <v>38</v>
      </c>
      <c r="K29" s="7" t="s">
        <v>39</v>
      </c>
      <c r="L29" s="7" t="s">
        <v>40</v>
      </c>
      <c r="M29" s="7" t="s">
        <v>41</v>
      </c>
      <c r="N29" s="7" t="s">
        <v>42</v>
      </c>
      <c r="O29" s="7" t="s">
        <v>43</v>
      </c>
      <c r="P29" s="7" t="s">
        <v>44</v>
      </c>
      <c r="Q29" s="7" t="s">
        <v>45</v>
      </c>
      <c r="R29" s="7" t="s">
        <v>46</v>
      </c>
      <c r="S29" s="7" t="s">
        <v>47</v>
      </c>
      <c r="T29" s="7" t="s">
        <v>48</v>
      </c>
      <c r="U29" s="7" t="s">
        <v>49</v>
      </c>
      <c r="V29" s="7" t="s">
        <v>155</v>
      </c>
      <c r="W29" s="7" t="s">
        <v>132</v>
      </c>
      <c r="X29" s="7" t="s">
        <v>55</v>
      </c>
      <c r="Y29" s="7" t="s">
        <v>156</v>
      </c>
      <c r="Z29" s="7" t="s">
        <v>60</v>
      </c>
    </row>
    <row r="31" spans="1:27" x14ac:dyDescent="0.35">
      <c r="B31" s="148" t="s">
        <v>157</v>
      </c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spans="1:27" ht="19.5" customHeight="1" x14ac:dyDescent="0.35">
      <c r="B32" s="133"/>
      <c r="C32" s="12" t="s">
        <v>33</v>
      </c>
      <c r="D32" s="145" t="s">
        <v>158</v>
      </c>
      <c r="E32" s="145"/>
      <c r="F32" s="145"/>
      <c r="G32" s="145"/>
      <c r="H32" s="145"/>
      <c r="O32" s="134"/>
      <c r="P32" s="12" t="s">
        <v>44</v>
      </c>
      <c r="Q32" s="145" t="s">
        <v>159</v>
      </c>
      <c r="R32" s="145"/>
      <c r="S32" s="145"/>
      <c r="T32" s="145"/>
      <c r="U32" s="145"/>
    </row>
    <row r="33" spans="2:21" ht="19.5" customHeight="1" x14ac:dyDescent="0.35">
      <c r="B33" s="135"/>
      <c r="C33" s="12" t="s">
        <v>155</v>
      </c>
      <c r="D33" s="145" t="s">
        <v>160</v>
      </c>
      <c r="E33" s="145"/>
      <c r="F33" s="145"/>
      <c r="G33" s="145"/>
      <c r="H33" s="145"/>
      <c r="O33" s="136"/>
      <c r="P33" s="12" t="s">
        <v>47</v>
      </c>
      <c r="Q33" s="145" t="s">
        <v>161</v>
      </c>
      <c r="R33" s="145"/>
      <c r="S33" s="145"/>
      <c r="T33" s="145"/>
      <c r="U33" s="145"/>
    </row>
    <row r="34" spans="2:21" ht="19.5" customHeight="1" x14ac:dyDescent="0.35">
      <c r="B34" s="137"/>
      <c r="C34" s="12" t="s">
        <v>30</v>
      </c>
      <c r="D34" s="145" t="s">
        <v>162</v>
      </c>
      <c r="E34" s="145"/>
      <c r="F34" s="145"/>
      <c r="G34" s="145"/>
      <c r="H34" s="145"/>
      <c r="O34" s="138"/>
      <c r="P34" s="12" t="s">
        <v>55</v>
      </c>
      <c r="Q34" s="145" t="s">
        <v>163</v>
      </c>
      <c r="R34" s="145"/>
      <c r="S34" s="145"/>
      <c r="T34" s="145"/>
      <c r="U34" s="145"/>
    </row>
    <row r="35" spans="2:21" ht="19.5" customHeight="1" x14ac:dyDescent="0.35">
      <c r="B35" s="139"/>
      <c r="C35" s="12" t="s">
        <v>36</v>
      </c>
      <c r="D35" s="145" t="s">
        <v>164</v>
      </c>
      <c r="E35" s="145"/>
      <c r="F35" s="145"/>
      <c r="G35" s="145"/>
      <c r="H35" s="145"/>
      <c r="O35" s="140"/>
      <c r="P35" s="12" t="s">
        <v>40</v>
      </c>
      <c r="Q35" s="145" t="s">
        <v>165</v>
      </c>
      <c r="R35" s="145"/>
      <c r="S35" s="145"/>
      <c r="T35" s="145"/>
      <c r="U35" s="145"/>
    </row>
    <row r="36" spans="2:21" ht="19.5" customHeight="1" x14ac:dyDescent="0.35">
      <c r="B36" s="141"/>
      <c r="C36" s="12" t="s">
        <v>41</v>
      </c>
      <c r="D36" s="145" t="s">
        <v>166</v>
      </c>
      <c r="E36" s="145"/>
      <c r="F36" s="145"/>
      <c r="G36" s="145"/>
      <c r="H36" s="145"/>
      <c r="O36" s="142"/>
      <c r="P36" s="12" t="s">
        <v>49</v>
      </c>
      <c r="Q36" s="145" t="s">
        <v>167</v>
      </c>
      <c r="R36" s="145"/>
      <c r="S36" s="145"/>
      <c r="T36" s="145"/>
      <c r="U36" s="145"/>
    </row>
    <row r="37" spans="2:21" ht="19.5" customHeight="1" x14ac:dyDescent="0.35">
      <c r="B37" s="143"/>
      <c r="C37" s="12" t="s">
        <v>60</v>
      </c>
      <c r="D37" s="145" t="s">
        <v>168</v>
      </c>
      <c r="E37" s="145"/>
      <c r="F37" s="145"/>
      <c r="G37" s="145"/>
      <c r="H37" s="145"/>
      <c r="O37" s="144"/>
      <c r="P37" s="12" t="s">
        <v>35</v>
      </c>
      <c r="Q37" s="145" t="s">
        <v>169</v>
      </c>
      <c r="R37" s="145"/>
      <c r="S37" s="145"/>
      <c r="T37" s="145"/>
      <c r="U37" s="145"/>
    </row>
  </sheetData>
  <mergeCells count="15">
    <mergeCell ref="D33:H33"/>
    <mergeCell ref="Q33:U33"/>
    <mergeCell ref="A1:AA1"/>
    <mergeCell ref="A2:AA2"/>
    <mergeCell ref="B31:Z31"/>
    <mergeCell ref="D32:H32"/>
    <mergeCell ref="Q32:U32"/>
    <mergeCell ref="D37:H37"/>
    <mergeCell ref="Q37:U37"/>
    <mergeCell ref="D34:H34"/>
    <mergeCell ref="Q34:U34"/>
    <mergeCell ref="D35:H35"/>
    <mergeCell ref="Q35:U35"/>
    <mergeCell ref="D36:H36"/>
    <mergeCell ref="Q36:U36"/>
  </mergeCells>
  <conditionalFormatting sqref="B4:Z28">
    <cfRule type="cellIs" dxfId="23" priority="1" operator="equal">
      <formula>"D"</formula>
    </cfRule>
    <cfRule type="cellIs" dxfId="22" priority="2" operator="equal">
      <formula>"U"</formula>
    </cfRule>
    <cfRule type="cellIs" dxfId="21" priority="3" operator="equal">
      <formula>"A"</formula>
    </cfRule>
    <cfRule type="cellIs" dxfId="20" priority="4" operator="equal">
      <formula>"G"</formula>
    </cfRule>
    <cfRule type="cellIs" dxfId="19" priority="5" operator="equal">
      <formula>"L"</formula>
    </cfRule>
    <cfRule type="cellIs" dxfId="18" priority="6" operator="equal">
      <formula>"Y"</formula>
    </cfRule>
    <cfRule type="cellIs" dxfId="17" priority="7" operator="equal">
      <formula>"O"</formula>
    </cfRule>
    <cfRule type="cellIs" dxfId="16" priority="8" operator="equal">
      <formula>"R"</formula>
    </cfRule>
    <cfRule type="cellIs" dxfId="15" priority="9" operator="equal">
      <formula>"W"</formula>
    </cfRule>
    <cfRule type="cellIs" dxfId="14" priority="10" operator="equal">
      <formula>"K"</formula>
    </cfRule>
    <cfRule type="cellIs" dxfId="13" priority="11" operator="equal">
      <formula>"T"</formula>
    </cfRule>
    <cfRule type="cellIs" dxfId="12" priority="12" operator="equal">
      <formula>"F"</formula>
    </cfRule>
  </conditionalFormatting>
  <printOptions horizontalCentered="1"/>
  <pageMargins left="0.35" right="0.35" top="0.45" bottom="0.45" header="0.511811023622047" footer="0.2"/>
  <pageSetup paperSize="8" orientation="portrait" horizontalDpi="300" verticalDpi="300" r:id="rId1"/>
  <headerFooter>
    <oddFooter>&amp;CPixel Mission  |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22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9" sqref="O9"/>
    </sheetView>
  </sheetViews>
  <sheetFormatPr defaultColWidth="8.6328125" defaultRowHeight="14.5" x14ac:dyDescent="0.35"/>
  <cols>
    <col min="1" max="1" width="4" customWidth="1"/>
    <col min="2" max="21" width="3.6328125" customWidth="1"/>
    <col min="23" max="23" width="6" customWidth="1"/>
    <col min="24" max="24" width="16" customWidth="1"/>
    <col min="25" max="25" width="8" customWidth="1"/>
    <col min="26" max="26" width="10" customWidth="1"/>
    <col min="27" max="27" width="8" customWidth="1"/>
  </cols>
  <sheetData>
    <row r="1" spans="1:27" ht="18" x14ac:dyDescent="0.4">
      <c r="A1" s="1" t="s">
        <v>150</v>
      </c>
      <c r="W1" s="2" t="s">
        <v>151</v>
      </c>
    </row>
    <row r="2" spans="1:27" x14ac:dyDescent="0.35"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</row>
    <row r="3" spans="1:27" ht="19.5" customHeight="1" x14ac:dyDescent="0.35">
      <c r="A3" s="7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W3" s="9" t="s">
        <v>50</v>
      </c>
      <c r="X3" s="9" t="s">
        <v>51</v>
      </c>
      <c r="Y3" s="9" t="s">
        <v>52</v>
      </c>
      <c r="Z3" s="9" t="s">
        <v>53</v>
      </c>
      <c r="AA3" s="9" t="s">
        <v>54</v>
      </c>
    </row>
    <row r="4" spans="1:27" ht="19.5" customHeight="1" x14ac:dyDescent="0.35">
      <c r="A4" s="7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W4" s="12" t="s">
        <v>40</v>
      </c>
      <c r="X4" s="4" t="s">
        <v>102</v>
      </c>
      <c r="Y4" s="54"/>
      <c r="Z4" s="14" t="s">
        <v>103</v>
      </c>
      <c r="AA4" s="15">
        <f t="shared" ref="AA4:AA15" si="0">COUNTIF($B$3:$U$22,W4)</f>
        <v>0</v>
      </c>
    </row>
    <row r="5" spans="1:27" ht="19.5" customHeight="1" x14ac:dyDescent="0.35">
      <c r="A5" s="7">
        <v>3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W5" s="12" t="s">
        <v>55</v>
      </c>
      <c r="X5" s="4" t="s">
        <v>58</v>
      </c>
      <c r="Y5" s="16"/>
      <c r="Z5" s="14" t="s">
        <v>59</v>
      </c>
      <c r="AA5" s="15">
        <f t="shared" si="0"/>
        <v>0</v>
      </c>
    </row>
    <row r="6" spans="1:27" ht="19.5" customHeight="1" x14ac:dyDescent="0.35">
      <c r="A6" s="7">
        <v>4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W6" s="12" t="s">
        <v>47</v>
      </c>
      <c r="X6" s="4" t="s">
        <v>61</v>
      </c>
      <c r="Y6" s="89"/>
      <c r="Z6" s="14" t="s">
        <v>133</v>
      </c>
      <c r="AA6" s="15">
        <f t="shared" si="0"/>
        <v>0</v>
      </c>
    </row>
    <row r="7" spans="1:27" ht="19.5" customHeight="1" x14ac:dyDescent="0.35">
      <c r="A7" s="7">
        <v>5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W7" s="12" t="s">
        <v>44</v>
      </c>
      <c r="X7" s="4" t="s">
        <v>86</v>
      </c>
      <c r="Y7" s="91"/>
      <c r="Z7" s="14" t="s">
        <v>134</v>
      </c>
      <c r="AA7" s="15">
        <f t="shared" si="0"/>
        <v>0</v>
      </c>
    </row>
    <row r="8" spans="1:27" ht="19.5" customHeight="1" x14ac:dyDescent="0.35">
      <c r="A8" s="7">
        <v>6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W8" s="12" t="s">
        <v>60</v>
      </c>
      <c r="X8" s="4" t="s">
        <v>63</v>
      </c>
      <c r="Y8" s="92"/>
      <c r="Z8" s="14" t="s">
        <v>135</v>
      </c>
      <c r="AA8" s="15">
        <f t="shared" si="0"/>
        <v>0</v>
      </c>
    </row>
    <row r="9" spans="1:27" ht="19.5" customHeight="1" x14ac:dyDescent="0.35">
      <c r="A9" s="7">
        <v>7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W9" s="12" t="s">
        <v>36</v>
      </c>
      <c r="X9" s="4" t="s">
        <v>98</v>
      </c>
      <c r="Y9" s="93"/>
      <c r="Z9" s="14" t="s">
        <v>136</v>
      </c>
      <c r="AA9" s="15">
        <f t="shared" si="0"/>
        <v>0</v>
      </c>
    </row>
    <row r="10" spans="1:27" ht="19.5" customHeight="1" x14ac:dyDescent="0.35">
      <c r="A10" s="7">
        <v>8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W10" s="12" t="s">
        <v>43</v>
      </c>
      <c r="X10" s="4" t="s">
        <v>125</v>
      </c>
      <c r="Y10" s="95"/>
      <c r="Z10" s="14" t="s">
        <v>137</v>
      </c>
      <c r="AA10" s="15">
        <f t="shared" si="0"/>
        <v>0</v>
      </c>
    </row>
    <row r="11" spans="1:27" ht="19.5" customHeight="1" x14ac:dyDescent="0.35">
      <c r="A11" s="7">
        <v>9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W11" s="12" t="s">
        <v>41</v>
      </c>
      <c r="X11" s="4" t="s">
        <v>138</v>
      </c>
      <c r="Y11" s="96"/>
      <c r="Z11" s="14" t="s">
        <v>139</v>
      </c>
      <c r="AA11" s="15">
        <f t="shared" si="0"/>
        <v>0</v>
      </c>
    </row>
    <row r="12" spans="1:27" ht="19.5" customHeight="1" x14ac:dyDescent="0.35">
      <c r="A12" s="7">
        <v>10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W12" s="12" t="s">
        <v>31</v>
      </c>
      <c r="X12" s="4" t="s">
        <v>140</v>
      </c>
      <c r="Y12" s="97"/>
      <c r="Z12" s="14" t="s">
        <v>141</v>
      </c>
      <c r="AA12" s="15">
        <f t="shared" si="0"/>
        <v>0</v>
      </c>
    </row>
    <row r="13" spans="1:27" ht="19.5" customHeight="1" x14ac:dyDescent="0.35">
      <c r="A13" s="7">
        <v>11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W13" s="12" t="s">
        <v>132</v>
      </c>
      <c r="X13" s="4" t="s">
        <v>142</v>
      </c>
      <c r="Y13" s="98"/>
      <c r="Z13" s="14" t="s">
        <v>143</v>
      </c>
      <c r="AA13" s="15">
        <f t="shared" si="0"/>
        <v>0</v>
      </c>
    </row>
    <row r="14" spans="1:27" ht="19.5" customHeight="1" x14ac:dyDescent="0.35">
      <c r="A14" s="7">
        <v>12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W14" s="12" t="s">
        <v>45</v>
      </c>
      <c r="X14" s="4" t="s">
        <v>144</v>
      </c>
      <c r="Y14" s="99"/>
      <c r="Z14" s="14" t="s">
        <v>145</v>
      </c>
      <c r="AA14" s="15">
        <f t="shared" si="0"/>
        <v>0</v>
      </c>
    </row>
    <row r="15" spans="1:27" ht="19.5" customHeight="1" x14ac:dyDescent="0.35">
      <c r="A15" s="7">
        <v>13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W15" s="12" t="s">
        <v>49</v>
      </c>
      <c r="X15" s="4" t="s">
        <v>146</v>
      </c>
      <c r="Y15" s="100"/>
      <c r="Z15" s="14" t="s">
        <v>147</v>
      </c>
      <c r="AA15" s="15">
        <f t="shared" si="0"/>
        <v>0</v>
      </c>
    </row>
    <row r="16" spans="1:27" ht="19.5" customHeight="1" x14ac:dyDescent="0.35">
      <c r="A16" s="7">
        <v>14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X16" s="24" t="s">
        <v>71</v>
      </c>
      <c r="AA16" s="12">
        <f>SUM(AA4:AA15)</f>
        <v>0</v>
      </c>
    </row>
    <row r="17" spans="1:27" ht="19.5" customHeight="1" x14ac:dyDescent="0.35">
      <c r="A17" s="7">
        <v>15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X17" s="24" t="s">
        <v>72</v>
      </c>
      <c r="AA17" s="12">
        <f>COUNTBLANK($B$3:$U$22)</f>
        <v>400</v>
      </c>
    </row>
    <row r="18" spans="1:27" ht="19.5" customHeight="1" x14ac:dyDescent="0.35">
      <c r="A18" s="7">
        <v>16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</row>
    <row r="19" spans="1:27" ht="19.5" customHeight="1" x14ac:dyDescent="0.35">
      <c r="A19" s="7">
        <v>17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W19" s="25" t="s">
        <v>152</v>
      </c>
    </row>
    <row r="20" spans="1:27" ht="19.5" customHeight="1" x14ac:dyDescent="0.35">
      <c r="A20" s="7">
        <v>18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</row>
    <row r="21" spans="1:27" ht="19.5" customHeight="1" x14ac:dyDescent="0.35">
      <c r="A21" s="7">
        <v>19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</row>
    <row r="22" spans="1:27" ht="19.5" customHeight="1" x14ac:dyDescent="0.35">
      <c r="A22" s="7">
        <v>20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</row>
  </sheetData>
  <conditionalFormatting sqref="B3:U22">
    <cfRule type="cellIs" dxfId="11" priority="2" operator="equal">
      <formula>"K"</formula>
    </cfRule>
    <cfRule type="cellIs" dxfId="10" priority="3" operator="equal">
      <formula>"W"</formula>
    </cfRule>
    <cfRule type="cellIs" dxfId="9" priority="4" operator="equal">
      <formula>"R"</formula>
    </cfRule>
    <cfRule type="cellIs" dxfId="8" priority="5" operator="equal">
      <formula>"O"</formula>
    </cfRule>
    <cfRule type="cellIs" dxfId="7" priority="6" operator="equal">
      <formula>"Y"</formula>
    </cfRule>
    <cfRule type="cellIs" dxfId="6" priority="7" operator="equal">
      <formula>"G"</formula>
    </cfRule>
    <cfRule type="cellIs" dxfId="5" priority="8" operator="equal">
      <formula>"N"</formula>
    </cfRule>
    <cfRule type="cellIs" dxfId="4" priority="9" operator="equal">
      <formula>"L"</formula>
    </cfRule>
    <cfRule type="cellIs" dxfId="3" priority="10" operator="equal">
      <formula>"B"</formula>
    </cfRule>
    <cfRule type="cellIs" dxfId="2" priority="11" operator="equal">
      <formula>"V"</formula>
    </cfRule>
    <cfRule type="cellIs" dxfId="1" priority="12" operator="equal">
      <formula>"P"</formula>
    </cfRule>
    <cfRule type="cellIs" dxfId="0" priority="13" operator="equal">
      <formula>"T"</formula>
    </cfRule>
  </conditionalFormatting>
  <pageMargins left="0.75" right="0.75" top="1" bottom="1" header="0.511811023622047" footer="0.511811023622047"/>
  <pageSetup paperSize="8" scale="97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ffcdfac2-430b-48d8-b537-ec930f3dd155}" enabled="1" method="Privileged" siteId="{9a8ff9e3-0e35-4620-a724-e9834dc50b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Overview</vt:lpstr>
      <vt:lpstr>1 Guiding Light</vt:lpstr>
      <vt:lpstr>2 Sunset Flight</vt:lpstr>
      <vt:lpstr>3 Reef Party</vt:lpstr>
      <vt:lpstr>4 Debug Mode</vt:lpstr>
      <vt:lpstr>5 Cloud Upload</vt:lpstr>
      <vt:lpstr>6 Internet Day</vt:lpstr>
      <vt:lpstr>Blank grid</vt:lpstr>
      <vt:lpstr>'1 Guiding Light'!Print_Area</vt:lpstr>
      <vt:lpstr>'2 Sunset Flight'!Print_Area</vt:lpstr>
      <vt:lpstr>'3 Reef Party'!Print_Area</vt:lpstr>
      <vt:lpstr>'4 Debug Mode'!Print_Area</vt:lpstr>
      <vt:lpstr>'5 Cloud Upload'!Print_Area</vt:lpstr>
      <vt:lpstr>'6 Internet Day'!Print_Area</vt:lpstr>
      <vt:lpstr>'Blank grid'!Print_Area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Bin Abd Rahman, Adly</cp:lastModifiedBy>
  <cp:revision>0</cp:revision>
  <cp:lastPrinted>2026-10-16T07:58:09Z</cp:lastPrinted>
  <dcterms:created xsi:type="dcterms:W3CDTF">2026-10-12T05:08:55Z</dcterms:created>
  <dcterms:modified xsi:type="dcterms:W3CDTF">2026-10-16T07:59:31Z</dcterms:modified>
  <dc:language>en-US</dc:language>
</cp:coreProperties>
</file>